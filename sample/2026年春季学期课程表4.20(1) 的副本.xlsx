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gc\OneDrive\桌面\"/>
    </mc:Choice>
  </mc:AlternateContent>
  <xr:revisionPtr revIDLastSave="0" documentId="8_{2F11CD14-B484-47CB-A6F7-039A04B95C43}" xr6:coauthVersionLast="47" xr6:coauthVersionMax="47" xr10:uidLastSave="{00000000-0000-0000-0000-000000000000}"/>
  <bookViews>
    <workbookView xWindow="-28920" yWindow="4770" windowWidth="29040" windowHeight="15720" activeTab="3" xr2:uid="{00000000-000D-0000-FFFF-FFFF00000000}"/>
  </bookViews>
  <sheets>
    <sheet name="教师安排" sheetId="7" r:id="rId1"/>
    <sheet name="总课表" sheetId="5" r:id="rId2"/>
    <sheet name="班级" sheetId="18" r:id="rId3"/>
    <sheet name="教师" sheetId="3" r:id="rId4"/>
    <sheet name="Sheet1" sheetId="19" r:id="rId5"/>
    <sheet name="班级课时统计" sheetId="6" state="hidden" r:id="rId6"/>
    <sheet name="课时计划" sheetId="17" state="hidden" r:id="rId7"/>
  </sheets>
  <definedNames>
    <definedName name="_xlnm._FilterDatabase" localSheetId="2" hidden="1">班级!$D$7:$O$30</definedName>
    <definedName name="_xlnm.Print_Area" localSheetId="2">班级!$A$1:$O$40</definedName>
    <definedName name="_xlnm.Print_Area" localSheetId="3">教师!$A$1:$O$40</definedName>
    <definedName name="_xlnm.Print_Area" localSheetId="1">总课表!$CU$1:$DE$39</definedName>
    <definedName name="_xlnm.Print_Titles" localSheetId="1">总课表!$A:$B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7" l="1"/>
  <c r="I19" i="17"/>
  <c r="H19" i="17"/>
  <c r="G19" i="17"/>
  <c r="F19" i="17"/>
  <c r="E19" i="17"/>
  <c r="D19" i="17"/>
  <c r="C19" i="17"/>
  <c r="B19" i="17"/>
  <c r="P74" i="6"/>
  <c r="O74" i="6"/>
  <c r="N74" i="6"/>
  <c r="M74" i="6"/>
  <c r="L74" i="6"/>
  <c r="K74" i="6"/>
  <c r="J74" i="6"/>
  <c r="I74" i="6"/>
  <c r="H74" i="6"/>
  <c r="G74" i="6"/>
  <c r="F74" i="6"/>
  <c r="E72" i="6"/>
  <c r="D72" i="6"/>
  <c r="C72" i="6"/>
  <c r="B72" i="6"/>
  <c r="E71" i="6"/>
  <c r="D71" i="6"/>
  <c r="C71" i="6"/>
  <c r="B71" i="6"/>
  <c r="E70" i="6"/>
  <c r="D70" i="6"/>
  <c r="C70" i="6"/>
  <c r="B70" i="6"/>
  <c r="E69" i="6"/>
  <c r="D69" i="6"/>
  <c r="C69" i="6"/>
  <c r="B69" i="6"/>
  <c r="E68" i="6"/>
  <c r="D68" i="6"/>
  <c r="C68" i="6"/>
  <c r="B68" i="6"/>
  <c r="E67" i="6"/>
  <c r="D67" i="6"/>
  <c r="C67" i="6"/>
  <c r="B67" i="6"/>
  <c r="E66" i="6"/>
  <c r="D66" i="6"/>
  <c r="C66" i="6"/>
  <c r="B66" i="6"/>
  <c r="E65" i="6"/>
  <c r="D65" i="6"/>
  <c r="C65" i="6"/>
  <c r="B65" i="6"/>
  <c r="E64" i="6"/>
  <c r="E74" i="6" s="1"/>
  <c r="D64" i="6"/>
  <c r="D74" i="6" s="1"/>
  <c r="C64" i="6"/>
  <c r="C74" i="6" s="1"/>
  <c r="B64" i="6"/>
  <c r="B74" i="6" s="1"/>
  <c r="E60" i="6"/>
  <c r="D60" i="6"/>
  <c r="C60" i="6"/>
  <c r="B60" i="6"/>
  <c r="E59" i="6"/>
  <c r="D59" i="6"/>
  <c r="C59" i="6"/>
  <c r="B59" i="6"/>
  <c r="E58" i="6"/>
  <c r="D58" i="6"/>
  <c r="C58" i="6"/>
  <c r="B58" i="6"/>
  <c r="E57" i="6"/>
  <c r="D57" i="6"/>
  <c r="C57" i="6"/>
  <c r="B57" i="6"/>
  <c r="E56" i="6"/>
  <c r="D56" i="6"/>
  <c r="C56" i="6"/>
  <c r="B56" i="6"/>
  <c r="E55" i="6"/>
  <c r="D55" i="6"/>
  <c r="C55" i="6"/>
  <c r="B55" i="6"/>
  <c r="E54" i="6"/>
  <c r="D54" i="6"/>
  <c r="C54" i="6"/>
  <c r="B54" i="6"/>
  <c r="E53" i="6"/>
  <c r="D53" i="6"/>
  <c r="C53" i="6"/>
  <c r="B53" i="6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E61" i="6" s="1"/>
  <c r="D48" i="6"/>
  <c r="D61" i="6" s="1"/>
  <c r="C48" i="6"/>
  <c r="C61" i="6" s="1"/>
  <c r="B48" i="6"/>
  <c r="B61" i="6" s="1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E45" i="6" s="1"/>
  <c r="D32" i="6"/>
  <c r="D45" i="6" s="1"/>
  <c r="C32" i="6"/>
  <c r="C45" i="6" s="1"/>
  <c r="B32" i="6"/>
  <c r="B45" i="6" s="1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C3" i="6"/>
  <c r="B3" i="6"/>
  <c r="K25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A1" i="19"/>
  <c r="O26" i="3"/>
  <c r="J26" i="3"/>
  <c r="I26" i="3"/>
  <c r="O25" i="3"/>
  <c r="J25" i="3"/>
  <c r="I25" i="3"/>
  <c r="A1" i="3"/>
  <c r="O39" i="18"/>
  <c r="N39" i="18"/>
  <c r="M39" i="18"/>
  <c r="L39" i="18"/>
  <c r="K39" i="18"/>
  <c r="J39" i="18"/>
  <c r="I39" i="18"/>
  <c r="H39" i="18"/>
  <c r="G39" i="18"/>
  <c r="F39" i="18"/>
  <c r="E39" i="18"/>
  <c r="D39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O26" i="18"/>
  <c r="N26" i="18"/>
  <c r="M26" i="18"/>
  <c r="L26" i="18"/>
  <c r="K26" i="18"/>
  <c r="J26" i="18"/>
  <c r="I26" i="18"/>
  <c r="F26" i="18"/>
  <c r="E26" i="18"/>
  <c r="D26" i="18"/>
  <c r="O25" i="18"/>
  <c r="N25" i="18"/>
  <c r="M25" i="18"/>
  <c r="L25" i="18"/>
  <c r="K25" i="18"/>
  <c r="J25" i="18"/>
  <c r="I25" i="18"/>
  <c r="H25" i="18"/>
  <c r="G25" i="18"/>
  <c r="F25" i="18"/>
  <c r="E25" i="18"/>
  <c r="D25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O15" i="18"/>
  <c r="N15" i="18"/>
  <c r="M15" i="18"/>
  <c r="L15" i="18"/>
  <c r="K15" i="18"/>
  <c r="J15" i="18"/>
  <c r="I15" i="18"/>
  <c r="H15" i="18"/>
  <c r="G15" i="18"/>
  <c r="F15" i="18"/>
  <c r="E15" i="18"/>
  <c r="D15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O9" i="18"/>
  <c r="N9" i="18"/>
  <c r="M9" i="18"/>
  <c r="L9" i="18"/>
  <c r="K9" i="18"/>
  <c r="J9" i="18"/>
  <c r="I9" i="18"/>
  <c r="H9" i="18"/>
  <c r="G9" i="18"/>
  <c r="F9" i="18"/>
  <c r="E9" i="18"/>
  <c r="D9" i="18"/>
  <c r="O7" i="18"/>
  <c r="N7" i="18"/>
  <c r="M7" i="18"/>
  <c r="L7" i="18"/>
  <c r="K7" i="18"/>
  <c r="J7" i="18"/>
  <c r="I7" i="18"/>
  <c r="H7" i="18"/>
  <c r="G7" i="18"/>
  <c r="F7" i="18"/>
  <c r="E7" i="18"/>
  <c r="D7" i="18"/>
  <c r="O5" i="18"/>
  <c r="N5" i="18"/>
  <c r="M5" i="18"/>
  <c r="L5" i="18"/>
  <c r="K5" i="18"/>
  <c r="J5" i="18"/>
  <c r="I5" i="18"/>
  <c r="H5" i="18"/>
  <c r="G5" i="18"/>
  <c r="F5" i="18"/>
  <c r="E5" i="18"/>
  <c r="D5" i="18"/>
  <c r="O3" i="18"/>
  <c r="N3" i="18"/>
  <c r="M3" i="18"/>
  <c r="L3" i="18"/>
  <c r="K3" i="18"/>
  <c r="J3" i="18"/>
  <c r="I3" i="18"/>
  <c r="H3" i="18"/>
  <c r="G3" i="18"/>
  <c r="F3" i="18"/>
  <c r="E3" i="18"/>
  <c r="D3" i="18"/>
  <c r="A1" i="18"/>
  <c r="KD41" i="5"/>
  <c r="KC41" i="5"/>
  <c r="KB41" i="5"/>
  <c r="KA41" i="5"/>
  <c r="JZ41" i="5"/>
  <c r="JY41" i="5"/>
  <c r="JX41" i="5"/>
  <c r="JW41" i="5"/>
  <c r="JV41" i="5"/>
  <c r="O40" i="18" s="1"/>
  <c r="JU41" i="5"/>
  <c r="JT41" i="5"/>
  <c r="JS41" i="5"/>
  <c r="JR41" i="5"/>
  <c r="JQ41" i="5"/>
  <c r="JP41" i="5"/>
  <c r="JO41" i="5"/>
  <c r="JN41" i="5"/>
  <c r="JM41" i="5"/>
  <c r="JL41" i="5"/>
  <c r="JK41" i="5"/>
  <c r="JJ41" i="5"/>
  <c r="JI41" i="5"/>
  <c r="JH41" i="5"/>
  <c r="JG41" i="5"/>
  <c r="JF41" i="5"/>
  <c r="JE41" i="5"/>
  <c r="JD41" i="5"/>
  <c r="JC41" i="5"/>
  <c r="JA41" i="5"/>
  <c r="IZ41" i="5"/>
  <c r="IY41" i="5"/>
  <c r="IX41" i="5"/>
  <c r="IW41" i="5"/>
  <c r="IV41" i="5"/>
  <c r="IU41" i="5"/>
  <c r="IT41" i="5"/>
  <c r="IS41" i="5"/>
  <c r="IR41" i="5"/>
  <c r="IQ41" i="5"/>
  <c r="IP41" i="5"/>
  <c r="IO41" i="5"/>
  <c r="IN41" i="5"/>
  <c r="IM41" i="5"/>
  <c r="IL41" i="5"/>
  <c r="IK41" i="5"/>
  <c r="IJ41" i="5"/>
  <c r="II41" i="5"/>
  <c r="IH41" i="5"/>
  <c r="IG41" i="5"/>
  <c r="IF41" i="5"/>
  <c r="IE41" i="5"/>
  <c r="IC41" i="5"/>
  <c r="IB41" i="5"/>
  <c r="IA41" i="5"/>
  <c r="HZ41" i="5"/>
  <c r="M40" i="18" s="1"/>
  <c r="HY41" i="5"/>
  <c r="HX41" i="5"/>
  <c r="HW41" i="5"/>
  <c r="HV41" i="5"/>
  <c r="HU41" i="5"/>
  <c r="HT41" i="5"/>
  <c r="HS41" i="5"/>
  <c r="HR41" i="5"/>
  <c r="HQ41" i="5"/>
  <c r="HP41" i="5"/>
  <c r="HO41" i="5"/>
  <c r="HN41" i="5"/>
  <c r="HM41" i="5"/>
  <c r="HL41" i="5"/>
  <c r="HK41" i="5"/>
  <c r="HJ41" i="5"/>
  <c r="HI41" i="5"/>
  <c r="HH41" i="5"/>
  <c r="HG41" i="5"/>
  <c r="HF41" i="5"/>
  <c r="HE41" i="5"/>
  <c r="HD41" i="5"/>
  <c r="HC41" i="5"/>
  <c r="HB41" i="5"/>
  <c r="HA41" i="5"/>
  <c r="GZ41" i="5"/>
  <c r="GY41" i="5"/>
  <c r="GX41" i="5"/>
  <c r="GW41" i="5"/>
  <c r="GV41" i="5"/>
  <c r="GU41" i="5"/>
  <c r="GT41" i="5"/>
  <c r="GS41" i="5"/>
  <c r="GR41" i="5"/>
  <c r="GQ41" i="5"/>
  <c r="GP41" i="5"/>
  <c r="GO41" i="5"/>
  <c r="GN41" i="5"/>
  <c r="GM41" i="5"/>
  <c r="GL41" i="5"/>
  <c r="GK41" i="5"/>
  <c r="GJ41" i="5"/>
  <c r="GI41" i="5"/>
  <c r="GG41" i="5"/>
  <c r="GF41" i="5"/>
  <c r="GE41" i="5"/>
  <c r="GD41" i="5"/>
  <c r="K40" i="18" s="1"/>
  <c r="GC41" i="5"/>
  <c r="GB41" i="5"/>
  <c r="GA41" i="5"/>
  <c r="FZ41" i="5"/>
  <c r="FY41" i="5"/>
  <c r="FX41" i="5"/>
  <c r="FW41" i="5"/>
  <c r="FV41" i="5"/>
  <c r="FU41" i="5"/>
  <c r="FT41" i="5"/>
  <c r="FS41" i="5"/>
  <c r="FR41" i="5"/>
  <c r="FQ41" i="5"/>
  <c r="FP41" i="5"/>
  <c r="FO41" i="5"/>
  <c r="FN41" i="5"/>
  <c r="FM41" i="5"/>
  <c r="FL41" i="5"/>
  <c r="FK41" i="5"/>
  <c r="FI41" i="5"/>
  <c r="FH41" i="5"/>
  <c r="FG41" i="5"/>
  <c r="FF41" i="5"/>
  <c r="J40" i="18" s="1"/>
  <c r="FE41" i="5"/>
  <c r="FD41" i="5"/>
  <c r="FC41" i="5"/>
  <c r="FB41" i="5"/>
  <c r="FA41" i="5"/>
  <c r="EZ41" i="5"/>
  <c r="EY41" i="5"/>
  <c r="EX41" i="5"/>
  <c r="EW41" i="5"/>
  <c r="EV41" i="5"/>
  <c r="EU41" i="5"/>
  <c r="ET41" i="5"/>
  <c r="ES41" i="5"/>
  <c r="ER41" i="5"/>
  <c r="EQ41" i="5"/>
  <c r="EP41" i="5"/>
  <c r="EO41" i="5"/>
  <c r="EN41" i="5"/>
  <c r="EM41" i="5"/>
  <c r="EK41" i="5"/>
  <c r="EJ41" i="5"/>
  <c r="EI41" i="5"/>
  <c r="EH41" i="5"/>
  <c r="EG41" i="5"/>
  <c r="EF41" i="5"/>
  <c r="EE41" i="5"/>
  <c r="ED41" i="5"/>
  <c r="EC41" i="5"/>
  <c r="EB41" i="5"/>
  <c r="EA41" i="5"/>
  <c r="DZ41" i="5"/>
  <c r="DY41" i="5"/>
  <c r="DX41" i="5"/>
  <c r="DW41" i="5"/>
  <c r="DV41" i="5"/>
  <c r="DU41" i="5"/>
  <c r="DT41" i="5"/>
  <c r="DS41" i="5"/>
  <c r="DR41" i="5"/>
  <c r="DQ41" i="5"/>
  <c r="DP41" i="5"/>
  <c r="DO41" i="5"/>
  <c r="DN41" i="5"/>
  <c r="DM41" i="5"/>
  <c r="DL41" i="5"/>
  <c r="DK41" i="5"/>
  <c r="DJ41" i="5"/>
  <c r="DI41" i="5"/>
  <c r="DH41" i="5"/>
  <c r="DG41" i="5"/>
  <c r="DF41" i="5"/>
  <c r="DE41" i="5"/>
  <c r="DD41" i="5"/>
  <c r="DC41" i="5"/>
  <c r="DB41" i="5"/>
  <c r="DA41" i="5"/>
  <c r="CZ41" i="5"/>
  <c r="CY41" i="5"/>
  <c r="CX41" i="5"/>
  <c r="CW41" i="5"/>
  <c r="CV41" i="5"/>
  <c r="CU41" i="5"/>
  <c r="CT41" i="5"/>
  <c r="CS41" i="5"/>
  <c r="CR41" i="5"/>
  <c r="CP41" i="5"/>
  <c r="CO41" i="5"/>
  <c r="CN41" i="5"/>
  <c r="CM41" i="5"/>
  <c r="CL41" i="5"/>
  <c r="CK41" i="5"/>
  <c r="CJ41" i="5"/>
  <c r="CI41" i="5"/>
  <c r="CH41" i="5"/>
  <c r="CG41" i="5"/>
  <c r="CF41" i="5"/>
  <c r="CE41" i="5"/>
  <c r="CD41" i="5"/>
  <c r="CC41" i="5"/>
  <c r="CB41" i="5"/>
  <c r="CA41" i="5"/>
  <c r="BZ41" i="5"/>
  <c r="BY41" i="5"/>
  <c r="BX41" i="5"/>
  <c r="BW41" i="5"/>
  <c r="BV41" i="5"/>
  <c r="BU41" i="5"/>
  <c r="BT41" i="5"/>
  <c r="BS41" i="5"/>
  <c r="BQ41" i="5"/>
  <c r="BP41" i="5"/>
  <c r="BO41" i="5"/>
  <c r="BN41" i="5"/>
  <c r="BM41" i="5"/>
  <c r="BL41" i="5"/>
  <c r="BK41" i="5"/>
  <c r="BJ41" i="5"/>
  <c r="BI41" i="5"/>
  <c r="BH41" i="5"/>
  <c r="BG41" i="5"/>
  <c r="BF41" i="5"/>
  <c r="BE41" i="5"/>
  <c r="BD41" i="5"/>
  <c r="BC41" i="5"/>
  <c r="BB41" i="5"/>
  <c r="BA41" i="5"/>
  <c r="AZ41" i="5"/>
  <c r="AY41" i="5"/>
  <c r="AX41" i="5"/>
  <c r="AW41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KD39" i="5"/>
  <c r="KC39" i="5"/>
  <c r="KB39" i="5"/>
  <c r="KA39" i="5"/>
  <c r="JZ39" i="5"/>
  <c r="JY39" i="5"/>
  <c r="JX39" i="5"/>
  <c r="JW39" i="5"/>
  <c r="JV39" i="5"/>
  <c r="JU39" i="5"/>
  <c r="JT39" i="5"/>
  <c r="JS39" i="5"/>
  <c r="JR39" i="5"/>
  <c r="JQ39" i="5"/>
  <c r="JP39" i="5"/>
  <c r="JO39" i="5"/>
  <c r="JN39" i="5"/>
  <c r="JM39" i="5"/>
  <c r="JL39" i="5"/>
  <c r="JK39" i="5"/>
  <c r="JJ39" i="5"/>
  <c r="JI39" i="5"/>
  <c r="JH39" i="5"/>
  <c r="JG39" i="5"/>
  <c r="JF39" i="5"/>
  <c r="JE39" i="5"/>
  <c r="JD39" i="5"/>
  <c r="JC39" i="5"/>
  <c r="JA39" i="5"/>
  <c r="IZ39" i="5"/>
  <c r="IY39" i="5"/>
  <c r="IX39" i="5"/>
  <c r="IW39" i="5"/>
  <c r="IV39" i="5"/>
  <c r="IU39" i="5"/>
  <c r="IT39" i="5"/>
  <c r="IS39" i="5"/>
  <c r="IR39" i="5"/>
  <c r="IQ39" i="5"/>
  <c r="IP39" i="5"/>
  <c r="IO39" i="5"/>
  <c r="IN39" i="5"/>
  <c r="IM39" i="5"/>
  <c r="IL39" i="5"/>
  <c r="IK39" i="5"/>
  <c r="IJ39" i="5"/>
  <c r="II39" i="5"/>
  <c r="IH39" i="5"/>
  <c r="IG39" i="5"/>
  <c r="IF39" i="5"/>
  <c r="IE39" i="5"/>
  <c r="IC39" i="5"/>
  <c r="IB39" i="5"/>
  <c r="IA39" i="5"/>
  <c r="HZ39" i="5"/>
  <c r="HY39" i="5"/>
  <c r="HX39" i="5"/>
  <c r="HW39" i="5"/>
  <c r="HV39" i="5"/>
  <c r="HU39" i="5"/>
  <c r="HT39" i="5"/>
  <c r="HS39" i="5"/>
  <c r="HR39" i="5"/>
  <c r="HQ39" i="5"/>
  <c r="HP39" i="5"/>
  <c r="HO39" i="5"/>
  <c r="HN39" i="5"/>
  <c r="HM39" i="5"/>
  <c r="HL39" i="5"/>
  <c r="HK39" i="5"/>
  <c r="HJ39" i="5"/>
  <c r="HI39" i="5"/>
  <c r="HH39" i="5"/>
  <c r="HG39" i="5"/>
  <c r="HE39" i="5"/>
  <c r="HD39" i="5"/>
  <c r="HC39" i="5"/>
  <c r="HB39" i="5"/>
  <c r="L38" i="18" s="1"/>
  <c r="HA39" i="5"/>
  <c r="GZ39" i="5"/>
  <c r="GY39" i="5"/>
  <c r="GX39" i="5"/>
  <c r="GW39" i="5"/>
  <c r="GV39" i="5"/>
  <c r="GU39" i="5"/>
  <c r="GT39" i="5"/>
  <c r="GS39" i="5"/>
  <c r="GR39" i="5"/>
  <c r="GQ39" i="5"/>
  <c r="GP39" i="5"/>
  <c r="GO39" i="5"/>
  <c r="GN39" i="5"/>
  <c r="GM39" i="5"/>
  <c r="GL39" i="5"/>
  <c r="GK39" i="5"/>
  <c r="GJ39" i="5"/>
  <c r="GI39" i="5"/>
  <c r="GG39" i="5"/>
  <c r="GF39" i="5"/>
  <c r="GE39" i="5"/>
  <c r="GD39" i="5"/>
  <c r="GC39" i="5"/>
  <c r="GB39" i="5"/>
  <c r="GA39" i="5"/>
  <c r="FZ39" i="5"/>
  <c r="FY39" i="5"/>
  <c r="FX39" i="5"/>
  <c r="FW39" i="5"/>
  <c r="FV39" i="5"/>
  <c r="FU39" i="5"/>
  <c r="FT39" i="5"/>
  <c r="FS39" i="5"/>
  <c r="FR39" i="5"/>
  <c r="FQ39" i="5"/>
  <c r="FP39" i="5"/>
  <c r="FO39" i="5"/>
  <c r="FN39" i="5"/>
  <c r="FM39" i="5"/>
  <c r="FL39" i="5"/>
  <c r="FK39" i="5"/>
  <c r="FI39" i="5"/>
  <c r="FH39" i="5"/>
  <c r="FG39" i="5"/>
  <c r="FF39" i="5"/>
  <c r="FE39" i="5"/>
  <c r="FD39" i="5"/>
  <c r="FC39" i="5"/>
  <c r="FB39" i="5"/>
  <c r="FA39" i="5"/>
  <c r="EZ39" i="5"/>
  <c r="EY39" i="5"/>
  <c r="EX39" i="5"/>
  <c r="EW39" i="5"/>
  <c r="EV39" i="5"/>
  <c r="EU39" i="5"/>
  <c r="ET39" i="5"/>
  <c r="ES39" i="5"/>
  <c r="ER39" i="5"/>
  <c r="EQ39" i="5"/>
  <c r="EP39" i="5"/>
  <c r="EO39" i="5"/>
  <c r="EN39" i="5"/>
  <c r="EM39" i="5"/>
  <c r="EL39" i="5"/>
  <c r="EK39" i="5"/>
  <c r="EJ39" i="5"/>
  <c r="EI39" i="5"/>
  <c r="EH39" i="5"/>
  <c r="EG39" i="5"/>
  <c r="EF39" i="5"/>
  <c r="EE39" i="5"/>
  <c r="ED39" i="5"/>
  <c r="EC39" i="5"/>
  <c r="EB39" i="5"/>
  <c r="EA39" i="5"/>
  <c r="DZ39" i="5"/>
  <c r="DY39" i="5"/>
  <c r="DX39" i="5"/>
  <c r="DW39" i="5"/>
  <c r="DV39" i="5"/>
  <c r="DU39" i="5"/>
  <c r="DT39" i="5"/>
  <c r="DS39" i="5"/>
  <c r="DR39" i="5"/>
  <c r="DQ39" i="5"/>
  <c r="DP39" i="5"/>
  <c r="DO39" i="5"/>
  <c r="DN39" i="5"/>
  <c r="DM39" i="5"/>
  <c r="DL39" i="5"/>
  <c r="DK39" i="5"/>
  <c r="DJ39" i="5"/>
  <c r="DI39" i="5"/>
  <c r="DH39" i="5"/>
  <c r="DG39" i="5"/>
  <c r="DF39" i="5"/>
  <c r="DE39" i="5"/>
  <c r="DD39" i="5"/>
  <c r="DC39" i="5"/>
  <c r="DB39" i="5"/>
  <c r="DA39" i="5"/>
  <c r="CZ39" i="5"/>
  <c r="CY39" i="5"/>
  <c r="CX39" i="5"/>
  <c r="CW39" i="5"/>
  <c r="CV39" i="5"/>
  <c r="CU39" i="5"/>
  <c r="CT39" i="5"/>
  <c r="CS39" i="5"/>
  <c r="CR39" i="5"/>
  <c r="CP39" i="5"/>
  <c r="CO39" i="5"/>
  <c r="CN39" i="5"/>
  <c r="CM39" i="5"/>
  <c r="CL39" i="5"/>
  <c r="CK39" i="5"/>
  <c r="CJ39" i="5"/>
  <c r="CI39" i="5"/>
  <c r="CH39" i="5"/>
  <c r="CG39" i="5"/>
  <c r="CF39" i="5"/>
  <c r="CE39" i="5"/>
  <c r="CD39" i="5"/>
  <c r="CC39" i="5"/>
  <c r="CB39" i="5"/>
  <c r="CA39" i="5"/>
  <c r="BZ39" i="5"/>
  <c r="BY39" i="5"/>
  <c r="BX39" i="5"/>
  <c r="BW39" i="5"/>
  <c r="BV39" i="5"/>
  <c r="BU39" i="5"/>
  <c r="BT39" i="5"/>
  <c r="BS39" i="5"/>
  <c r="BQ39" i="5"/>
  <c r="BP39" i="5"/>
  <c r="BO39" i="5"/>
  <c r="BN39" i="5"/>
  <c r="BM39" i="5"/>
  <c r="BL39" i="5"/>
  <c r="BK39" i="5"/>
  <c r="BJ39" i="5"/>
  <c r="BI39" i="5"/>
  <c r="BH39" i="5"/>
  <c r="BG39" i="5"/>
  <c r="BF39" i="5"/>
  <c r="BE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KD37" i="5"/>
  <c r="KC37" i="5"/>
  <c r="KB37" i="5"/>
  <c r="KA37" i="5"/>
  <c r="JY37" i="5"/>
  <c r="JX37" i="5"/>
  <c r="JW37" i="5"/>
  <c r="JV37" i="5"/>
  <c r="JU37" i="5"/>
  <c r="JT37" i="5"/>
  <c r="JS37" i="5"/>
  <c r="JR37" i="5"/>
  <c r="JQ37" i="5"/>
  <c r="JP37" i="5"/>
  <c r="JO37" i="5"/>
  <c r="JN37" i="5"/>
  <c r="JM37" i="5"/>
  <c r="JL37" i="5"/>
  <c r="JK37" i="5"/>
  <c r="JJ37" i="5"/>
  <c r="JI37" i="5"/>
  <c r="JH37" i="5"/>
  <c r="JG37" i="5"/>
  <c r="JF37" i="5"/>
  <c r="JE37" i="5"/>
  <c r="JD37" i="5"/>
  <c r="JC37" i="5"/>
  <c r="JA37" i="5"/>
  <c r="IZ37" i="5"/>
  <c r="IY37" i="5"/>
  <c r="IX37" i="5"/>
  <c r="IW37" i="5"/>
  <c r="IV37" i="5"/>
  <c r="IU37" i="5"/>
  <c r="IT37" i="5"/>
  <c r="IS37" i="5"/>
  <c r="IR37" i="5"/>
  <c r="IQ37" i="5"/>
  <c r="IP37" i="5"/>
  <c r="IO37" i="5"/>
  <c r="IN37" i="5"/>
  <c r="IM37" i="5"/>
  <c r="IL37" i="5"/>
  <c r="IK37" i="5"/>
  <c r="IJ37" i="5"/>
  <c r="II37" i="5"/>
  <c r="IH37" i="5"/>
  <c r="IG37" i="5"/>
  <c r="IF37" i="5"/>
  <c r="IE37" i="5"/>
  <c r="IC37" i="5"/>
  <c r="IB37" i="5"/>
  <c r="IA37" i="5"/>
  <c r="HZ37" i="5"/>
  <c r="HY37" i="5"/>
  <c r="HX37" i="5"/>
  <c r="HW37" i="5"/>
  <c r="HV37" i="5"/>
  <c r="HU37" i="5"/>
  <c r="HT37" i="5"/>
  <c r="HS37" i="5"/>
  <c r="HR37" i="5"/>
  <c r="HQ37" i="5"/>
  <c r="HP37" i="5"/>
  <c r="HO37" i="5"/>
  <c r="HN37" i="5"/>
  <c r="HM37" i="5"/>
  <c r="HL37" i="5"/>
  <c r="HK37" i="5"/>
  <c r="HJ37" i="5"/>
  <c r="HI37" i="5"/>
  <c r="HH37" i="5"/>
  <c r="HG37" i="5"/>
  <c r="HE37" i="5"/>
  <c r="HD37" i="5"/>
  <c r="HC37" i="5"/>
  <c r="HB37" i="5"/>
  <c r="HA37" i="5"/>
  <c r="GZ37" i="5"/>
  <c r="GY37" i="5"/>
  <c r="GX37" i="5"/>
  <c r="GW37" i="5"/>
  <c r="GV37" i="5"/>
  <c r="GU37" i="5"/>
  <c r="GT37" i="5"/>
  <c r="GS37" i="5"/>
  <c r="GR37" i="5"/>
  <c r="GQ37" i="5"/>
  <c r="GP37" i="5"/>
  <c r="GO37" i="5"/>
  <c r="GN37" i="5"/>
  <c r="GM37" i="5"/>
  <c r="GL37" i="5"/>
  <c r="GK37" i="5"/>
  <c r="GJ37" i="5"/>
  <c r="GI37" i="5"/>
  <c r="GG37" i="5"/>
  <c r="GF37" i="5"/>
  <c r="GE37" i="5"/>
  <c r="GD37" i="5"/>
  <c r="K36" i="18" s="1"/>
  <c r="GC37" i="5"/>
  <c r="GB37" i="5"/>
  <c r="GA37" i="5"/>
  <c r="FZ37" i="5"/>
  <c r="FY37" i="5"/>
  <c r="FX37" i="5"/>
  <c r="FW37" i="5"/>
  <c r="FV37" i="5"/>
  <c r="FU37" i="5"/>
  <c r="FT37" i="5"/>
  <c r="FS37" i="5"/>
  <c r="FR37" i="5"/>
  <c r="FQ37" i="5"/>
  <c r="FP37" i="5"/>
  <c r="FO37" i="5"/>
  <c r="FN37" i="5"/>
  <c r="FM37" i="5"/>
  <c r="FL37" i="5"/>
  <c r="FK37" i="5"/>
  <c r="FI37" i="5"/>
  <c r="FH37" i="5"/>
  <c r="FG37" i="5"/>
  <c r="FF37" i="5"/>
  <c r="J36" i="18" s="1"/>
  <c r="FE37" i="5"/>
  <c r="FD37" i="5"/>
  <c r="FC37" i="5"/>
  <c r="FB37" i="5"/>
  <c r="FA37" i="5"/>
  <c r="EZ37" i="5"/>
  <c r="EY37" i="5"/>
  <c r="EX37" i="5"/>
  <c r="EW37" i="5"/>
  <c r="EV37" i="5"/>
  <c r="EU37" i="5"/>
  <c r="ET37" i="5"/>
  <c r="ES37" i="5"/>
  <c r="ER37" i="5"/>
  <c r="EQ37" i="5"/>
  <c r="EP37" i="5"/>
  <c r="EO37" i="5"/>
  <c r="EN37" i="5"/>
  <c r="EM37" i="5"/>
  <c r="EK37" i="5"/>
  <c r="EJ37" i="5"/>
  <c r="EI37" i="5"/>
  <c r="EH37" i="5"/>
  <c r="I36" i="18" s="1"/>
  <c r="EG37" i="5"/>
  <c r="EF37" i="5"/>
  <c r="EE37" i="5"/>
  <c r="ED37" i="5"/>
  <c r="EC37" i="5"/>
  <c r="EB37" i="5"/>
  <c r="EA37" i="5"/>
  <c r="DZ37" i="5"/>
  <c r="DY37" i="5"/>
  <c r="DX37" i="5"/>
  <c r="DW37" i="5"/>
  <c r="DV37" i="5"/>
  <c r="DU37" i="5"/>
  <c r="DT37" i="5"/>
  <c r="DS37" i="5"/>
  <c r="DR37" i="5"/>
  <c r="DQ37" i="5"/>
  <c r="DP37" i="5"/>
  <c r="DO37" i="5"/>
  <c r="DM37" i="5"/>
  <c r="DL37" i="5"/>
  <c r="DK37" i="5"/>
  <c r="DJ37" i="5"/>
  <c r="DI37" i="5"/>
  <c r="DH37" i="5"/>
  <c r="DG37" i="5"/>
  <c r="DF37" i="5"/>
  <c r="DE37" i="5"/>
  <c r="DD37" i="5"/>
  <c r="DC37" i="5"/>
  <c r="DB37" i="5"/>
  <c r="DA37" i="5"/>
  <c r="CZ37" i="5"/>
  <c r="CY37" i="5"/>
  <c r="CX37" i="5"/>
  <c r="CW37" i="5"/>
  <c r="CV37" i="5"/>
  <c r="CU37" i="5"/>
  <c r="CT37" i="5"/>
  <c r="CS37" i="5"/>
  <c r="CR37" i="5"/>
  <c r="CP37" i="5"/>
  <c r="CO37" i="5"/>
  <c r="CN37" i="5"/>
  <c r="CM37" i="5"/>
  <c r="CL37" i="5"/>
  <c r="CK37" i="5"/>
  <c r="CJ37" i="5"/>
  <c r="CI37" i="5"/>
  <c r="CH37" i="5"/>
  <c r="CG37" i="5"/>
  <c r="CF37" i="5"/>
  <c r="CE37" i="5"/>
  <c r="CD37" i="5"/>
  <c r="CC37" i="5"/>
  <c r="CB37" i="5"/>
  <c r="CA37" i="5"/>
  <c r="BZ37" i="5"/>
  <c r="BY37" i="5"/>
  <c r="BX37" i="5"/>
  <c r="BW37" i="5"/>
  <c r="BV37" i="5"/>
  <c r="BU37" i="5"/>
  <c r="BT37" i="5"/>
  <c r="BS37" i="5"/>
  <c r="BQ37" i="5"/>
  <c r="BP37" i="5"/>
  <c r="BO37" i="5"/>
  <c r="BN37" i="5"/>
  <c r="BM37" i="5"/>
  <c r="BL37" i="5"/>
  <c r="BK37" i="5"/>
  <c r="BJ37" i="5"/>
  <c r="BI37" i="5"/>
  <c r="BH37" i="5"/>
  <c r="BG37" i="5"/>
  <c r="BF37" i="5"/>
  <c r="BE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E36" i="18" s="1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KD35" i="5"/>
  <c r="KC35" i="5"/>
  <c r="KB35" i="5"/>
  <c r="KA35" i="5"/>
  <c r="JY35" i="5"/>
  <c r="JX35" i="5"/>
  <c r="JW35" i="5"/>
  <c r="JV35" i="5"/>
  <c r="JU35" i="5"/>
  <c r="JT35" i="5"/>
  <c r="JS35" i="5"/>
  <c r="JR35" i="5"/>
  <c r="JQ35" i="5"/>
  <c r="JP35" i="5"/>
  <c r="JO35" i="5"/>
  <c r="JN35" i="5"/>
  <c r="JM35" i="5"/>
  <c r="JL35" i="5"/>
  <c r="JK35" i="5"/>
  <c r="JJ35" i="5"/>
  <c r="JI35" i="5"/>
  <c r="JH35" i="5"/>
  <c r="JG35" i="5"/>
  <c r="JF35" i="5"/>
  <c r="JE35" i="5"/>
  <c r="JD35" i="5"/>
  <c r="JC35" i="5"/>
  <c r="JB35" i="5"/>
  <c r="JA35" i="5"/>
  <c r="IZ35" i="5"/>
  <c r="IY35" i="5"/>
  <c r="IX35" i="5"/>
  <c r="IW35" i="5"/>
  <c r="IV35" i="5"/>
  <c r="IU35" i="5"/>
  <c r="IT35" i="5"/>
  <c r="IS35" i="5"/>
  <c r="IR35" i="5"/>
  <c r="IQ35" i="5"/>
  <c r="IP35" i="5"/>
  <c r="IO35" i="5"/>
  <c r="IN35" i="5"/>
  <c r="IM35" i="5"/>
  <c r="IL35" i="5"/>
  <c r="IK35" i="5"/>
  <c r="IJ35" i="5"/>
  <c r="II35" i="5"/>
  <c r="IH35" i="5"/>
  <c r="IG35" i="5"/>
  <c r="IF35" i="5"/>
  <c r="IE35" i="5"/>
  <c r="IC35" i="5"/>
  <c r="IB35" i="5"/>
  <c r="IA35" i="5"/>
  <c r="HZ35" i="5"/>
  <c r="HY35" i="5"/>
  <c r="HX35" i="5"/>
  <c r="HW35" i="5"/>
  <c r="HV35" i="5"/>
  <c r="HU35" i="5"/>
  <c r="HT35" i="5"/>
  <c r="HS35" i="5"/>
  <c r="HR35" i="5"/>
  <c r="HQ35" i="5"/>
  <c r="HP35" i="5"/>
  <c r="HO35" i="5"/>
  <c r="HN35" i="5"/>
  <c r="HM35" i="5"/>
  <c r="HL35" i="5"/>
  <c r="HK35" i="5"/>
  <c r="HJ35" i="5"/>
  <c r="HI35" i="5"/>
  <c r="HH35" i="5"/>
  <c r="HG35" i="5"/>
  <c r="HE35" i="5"/>
  <c r="HD35" i="5"/>
  <c r="HC35" i="5"/>
  <c r="HB35" i="5"/>
  <c r="L34" i="18" s="1"/>
  <c r="HA35" i="5"/>
  <c r="GZ35" i="5"/>
  <c r="GY35" i="5"/>
  <c r="GX35" i="5"/>
  <c r="GW35" i="5"/>
  <c r="GV35" i="5"/>
  <c r="GU35" i="5"/>
  <c r="GT35" i="5"/>
  <c r="GS35" i="5"/>
  <c r="GR35" i="5"/>
  <c r="GQ35" i="5"/>
  <c r="GP35" i="5"/>
  <c r="GO35" i="5"/>
  <c r="GN35" i="5"/>
  <c r="GM35" i="5"/>
  <c r="GL35" i="5"/>
  <c r="GK35" i="5"/>
  <c r="GJ35" i="5"/>
  <c r="GI35" i="5"/>
  <c r="GG35" i="5"/>
  <c r="GF35" i="5"/>
  <c r="GE35" i="5"/>
  <c r="GD35" i="5"/>
  <c r="GC35" i="5"/>
  <c r="GB35" i="5"/>
  <c r="GA35" i="5"/>
  <c r="FZ35" i="5"/>
  <c r="FY35" i="5"/>
  <c r="FX35" i="5"/>
  <c r="FW35" i="5"/>
  <c r="FV35" i="5"/>
  <c r="FU35" i="5"/>
  <c r="FT35" i="5"/>
  <c r="FS35" i="5"/>
  <c r="FR35" i="5"/>
  <c r="FQ35" i="5"/>
  <c r="FP35" i="5"/>
  <c r="FO35" i="5"/>
  <c r="FN35" i="5"/>
  <c r="FM35" i="5"/>
  <c r="FL35" i="5"/>
  <c r="FK35" i="5"/>
  <c r="FI35" i="5"/>
  <c r="FH35" i="5"/>
  <c r="FG35" i="5"/>
  <c r="FF35" i="5"/>
  <c r="FE35" i="5"/>
  <c r="FD35" i="5"/>
  <c r="FC35" i="5"/>
  <c r="FB35" i="5"/>
  <c r="FA35" i="5"/>
  <c r="EZ35" i="5"/>
  <c r="EY35" i="5"/>
  <c r="EX35" i="5"/>
  <c r="EW35" i="5"/>
  <c r="EV35" i="5"/>
  <c r="EU35" i="5"/>
  <c r="ET35" i="5"/>
  <c r="ES35" i="5"/>
  <c r="ER35" i="5"/>
  <c r="EQ35" i="5"/>
  <c r="EP35" i="5"/>
  <c r="EO35" i="5"/>
  <c r="EN35" i="5"/>
  <c r="EM35" i="5"/>
  <c r="EK35" i="5"/>
  <c r="EJ35" i="5"/>
  <c r="EI35" i="5"/>
  <c r="EH35" i="5"/>
  <c r="EG35" i="5"/>
  <c r="EF35" i="5"/>
  <c r="EE35" i="5"/>
  <c r="ED35" i="5"/>
  <c r="EC35" i="5"/>
  <c r="EB35" i="5"/>
  <c r="EA35" i="5"/>
  <c r="DZ35" i="5"/>
  <c r="DY35" i="5"/>
  <c r="DX35" i="5"/>
  <c r="DW35" i="5"/>
  <c r="DV35" i="5"/>
  <c r="DU35" i="5"/>
  <c r="DT35" i="5"/>
  <c r="DS35" i="5"/>
  <c r="DR35" i="5"/>
  <c r="DQ35" i="5"/>
  <c r="DP35" i="5"/>
  <c r="DO35" i="5"/>
  <c r="DM35" i="5"/>
  <c r="DL35" i="5"/>
  <c r="DK35" i="5"/>
  <c r="DJ35" i="5"/>
  <c r="H34" i="18" s="1"/>
  <c r="DI35" i="5"/>
  <c r="DH35" i="5"/>
  <c r="DG35" i="5"/>
  <c r="DF35" i="5"/>
  <c r="DE35" i="5"/>
  <c r="DD35" i="5"/>
  <c r="DC35" i="5"/>
  <c r="DB35" i="5"/>
  <c r="DA35" i="5"/>
  <c r="CZ35" i="5"/>
  <c r="CY35" i="5"/>
  <c r="CX35" i="5"/>
  <c r="CW35" i="5"/>
  <c r="CV35" i="5"/>
  <c r="CU35" i="5"/>
  <c r="CT35" i="5"/>
  <c r="CS35" i="5"/>
  <c r="CR35" i="5"/>
  <c r="CQ35" i="5"/>
  <c r="CP35" i="5"/>
  <c r="CO35" i="5"/>
  <c r="CN35" i="5"/>
  <c r="CM35" i="5"/>
  <c r="CL35" i="5"/>
  <c r="G34" i="18" s="1"/>
  <c r="CK35" i="5"/>
  <c r="CJ35" i="5"/>
  <c r="CI35" i="5"/>
  <c r="CH35" i="5"/>
  <c r="CG35" i="5"/>
  <c r="CF35" i="5"/>
  <c r="CE35" i="5"/>
  <c r="CD35" i="5"/>
  <c r="CC35" i="5"/>
  <c r="CB35" i="5"/>
  <c r="CA35" i="5"/>
  <c r="BZ35" i="5"/>
  <c r="BY35" i="5"/>
  <c r="BX35" i="5"/>
  <c r="BW35" i="5"/>
  <c r="BV35" i="5"/>
  <c r="BU35" i="5"/>
  <c r="BT35" i="5"/>
  <c r="BS35" i="5"/>
  <c r="BQ35" i="5"/>
  <c r="BP35" i="5"/>
  <c r="BO35" i="5"/>
  <c r="BN35" i="5"/>
  <c r="BM35" i="5"/>
  <c r="BL35" i="5"/>
  <c r="BK35" i="5"/>
  <c r="BJ35" i="5"/>
  <c r="BI35" i="5"/>
  <c r="BH35" i="5"/>
  <c r="BG35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KD33" i="5"/>
  <c r="KC33" i="5"/>
  <c r="KB33" i="5"/>
  <c r="KA33" i="5"/>
  <c r="JZ33" i="5"/>
  <c r="JY33" i="5"/>
  <c r="JX33" i="5"/>
  <c r="JW33" i="5"/>
  <c r="JV33" i="5"/>
  <c r="O32" i="18" s="1"/>
  <c r="JU33" i="5"/>
  <c r="JT33" i="5"/>
  <c r="JS33" i="5"/>
  <c r="JR33" i="5"/>
  <c r="JQ33" i="5"/>
  <c r="JP33" i="5"/>
  <c r="JO33" i="5"/>
  <c r="JN33" i="5"/>
  <c r="JM33" i="5"/>
  <c r="JL33" i="5"/>
  <c r="JK33" i="5"/>
  <c r="JJ33" i="5"/>
  <c r="JI33" i="5"/>
  <c r="JH33" i="5"/>
  <c r="JG33" i="5"/>
  <c r="JF33" i="5"/>
  <c r="JE33" i="5"/>
  <c r="JD33" i="5"/>
  <c r="JC33" i="5"/>
  <c r="JB33" i="5"/>
  <c r="JA33" i="5"/>
  <c r="IZ33" i="5"/>
  <c r="IY33" i="5"/>
  <c r="IX33" i="5"/>
  <c r="IW33" i="5"/>
  <c r="IV33" i="5"/>
  <c r="IU33" i="5"/>
  <c r="IT33" i="5"/>
  <c r="IS33" i="5"/>
  <c r="IR33" i="5"/>
  <c r="IQ33" i="5"/>
  <c r="IP33" i="5"/>
  <c r="IO33" i="5"/>
  <c r="IN33" i="5"/>
  <c r="IM33" i="5"/>
  <c r="IL33" i="5"/>
  <c r="IK33" i="5"/>
  <c r="IJ33" i="5"/>
  <c r="II33" i="5"/>
  <c r="IH33" i="5"/>
  <c r="IG33" i="5"/>
  <c r="IF33" i="5"/>
  <c r="IE33" i="5"/>
  <c r="IC33" i="5"/>
  <c r="IB33" i="5"/>
  <c r="IA33" i="5"/>
  <c r="HZ33" i="5"/>
  <c r="HY33" i="5"/>
  <c r="HX33" i="5"/>
  <c r="HW33" i="5"/>
  <c r="HV33" i="5"/>
  <c r="HU33" i="5"/>
  <c r="HT33" i="5"/>
  <c r="HS33" i="5"/>
  <c r="HR33" i="5"/>
  <c r="HQ33" i="5"/>
  <c r="HP33" i="5"/>
  <c r="HO33" i="5"/>
  <c r="HN33" i="5"/>
  <c r="HM33" i="5"/>
  <c r="HL33" i="5"/>
  <c r="HK33" i="5"/>
  <c r="HJ33" i="5"/>
  <c r="HI33" i="5"/>
  <c r="HH33" i="5"/>
  <c r="HG33" i="5"/>
  <c r="HE33" i="5"/>
  <c r="HD33" i="5"/>
  <c r="HC33" i="5"/>
  <c r="HB33" i="5"/>
  <c r="HA33" i="5"/>
  <c r="GZ33" i="5"/>
  <c r="GY33" i="5"/>
  <c r="GX33" i="5"/>
  <c r="GW33" i="5"/>
  <c r="GV33" i="5"/>
  <c r="GU33" i="5"/>
  <c r="GT33" i="5"/>
  <c r="GS33" i="5"/>
  <c r="GR33" i="5"/>
  <c r="GQ33" i="5"/>
  <c r="GP33" i="5"/>
  <c r="GO33" i="5"/>
  <c r="GN33" i="5"/>
  <c r="GM33" i="5"/>
  <c r="GL33" i="5"/>
  <c r="GK33" i="5"/>
  <c r="GJ33" i="5"/>
  <c r="GI33" i="5"/>
  <c r="GG33" i="5"/>
  <c r="GF33" i="5"/>
  <c r="GE33" i="5"/>
  <c r="GD33" i="5"/>
  <c r="GC33" i="5"/>
  <c r="GB33" i="5"/>
  <c r="GA33" i="5"/>
  <c r="FZ33" i="5"/>
  <c r="FY33" i="5"/>
  <c r="FX33" i="5"/>
  <c r="FW33" i="5"/>
  <c r="FV33" i="5"/>
  <c r="FU33" i="5"/>
  <c r="FT33" i="5"/>
  <c r="FS33" i="5"/>
  <c r="FR33" i="5"/>
  <c r="FQ33" i="5"/>
  <c r="FP33" i="5"/>
  <c r="FO33" i="5"/>
  <c r="FN33" i="5"/>
  <c r="FM33" i="5"/>
  <c r="FL33" i="5"/>
  <c r="FK33" i="5"/>
  <c r="FI33" i="5"/>
  <c r="FH33" i="5"/>
  <c r="FG33" i="5"/>
  <c r="FF33" i="5"/>
  <c r="FE33" i="5"/>
  <c r="FD33" i="5"/>
  <c r="FC33" i="5"/>
  <c r="FB33" i="5"/>
  <c r="FA33" i="5"/>
  <c r="EZ33" i="5"/>
  <c r="EY33" i="5"/>
  <c r="EX33" i="5"/>
  <c r="EW33" i="5"/>
  <c r="EV33" i="5"/>
  <c r="EU33" i="5"/>
  <c r="ET33" i="5"/>
  <c r="ES33" i="5"/>
  <c r="ER33" i="5"/>
  <c r="EQ33" i="5"/>
  <c r="EP33" i="5"/>
  <c r="EO33" i="5"/>
  <c r="EN33" i="5"/>
  <c r="EM33" i="5"/>
  <c r="EK33" i="5"/>
  <c r="EJ33" i="5"/>
  <c r="EI33" i="5"/>
  <c r="EH33" i="5"/>
  <c r="EG33" i="5"/>
  <c r="EF33" i="5"/>
  <c r="EE33" i="5"/>
  <c r="ED33" i="5"/>
  <c r="EC33" i="5"/>
  <c r="EB33" i="5"/>
  <c r="EA33" i="5"/>
  <c r="DZ33" i="5"/>
  <c r="DY33" i="5"/>
  <c r="DX33" i="5"/>
  <c r="DW33" i="5"/>
  <c r="DV33" i="5"/>
  <c r="DU33" i="5"/>
  <c r="DT33" i="5"/>
  <c r="DS33" i="5"/>
  <c r="DR33" i="5"/>
  <c r="DQ33" i="5"/>
  <c r="DP33" i="5"/>
  <c r="DO33" i="5"/>
  <c r="DN33" i="5"/>
  <c r="DM33" i="5"/>
  <c r="DL33" i="5"/>
  <c r="DK33" i="5"/>
  <c r="DJ33" i="5"/>
  <c r="DI33" i="5"/>
  <c r="DH33" i="5"/>
  <c r="DG33" i="5"/>
  <c r="DF33" i="5"/>
  <c r="DE33" i="5"/>
  <c r="DD33" i="5"/>
  <c r="DC33" i="5"/>
  <c r="DB33" i="5"/>
  <c r="DA33" i="5"/>
  <c r="CZ33" i="5"/>
  <c r="CY33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K33" i="5"/>
  <c r="CJ33" i="5"/>
  <c r="CI33" i="5"/>
  <c r="CH33" i="5"/>
  <c r="CG33" i="5"/>
  <c r="CF33" i="5"/>
  <c r="CE33" i="5"/>
  <c r="CD33" i="5"/>
  <c r="CC33" i="5"/>
  <c r="CB33" i="5"/>
  <c r="CA33" i="5"/>
  <c r="BZ33" i="5"/>
  <c r="BY33" i="5"/>
  <c r="BX33" i="5"/>
  <c r="BW33" i="5"/>
  <c r="BV33" i="5"/>
  <c r="BU33" i="5"/>
  <c r="BT33" i="5"/>
  <c r="BS33" i="5"/>
  <c r="BQ33" i="5"/>
  <c r="BP33" i="5"/>
  <c r="BO33" i="5"/>
  <c r="BN33" i="5"/>
  <c r="BM33" i="5"/>
  <c r="BL33" i="5"/>
  <c r="BK33" i="5"/>
  <c r="BJ33" i="5"/>
  <c r="BI33" i="5"/>
  <c r="BH33" i="5"/>
  <c r="BG33" i="5"/>
  <c r="BF33" i="5"/>
  <c r="BE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U33" i="5"/>
  <c r="T33" i="5"/>
  <c r="S33" i="5"/>
  <c r="R33" i="5"/>
  <c r="D32" i="18" s="1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KD31" i="5"/>
  <c r="KC31" i="5"/>
  <c r="KB31" i="5"/>
  <c r="KA31" i="5"/>
  <c r="JY31" i="5"/>
  <c r="JX31" i="5"/>
  <c r="JW31" i="5"/>
  <c r="JV31" i="5"/>
  <c r="JU31" i="5"/>
  <c r="JT31" i="5"/>
  <c r="JS31" i="5"/>
  <c r="JR31" i="5"/>
  <c r="JQ31" i="5"/>
  <c r="JP31" i="5"/>
  <c r="JO31" i="5"/>
  <c r="JN31" i="5"/>
  <c r="JM31" i="5"/>
  <c r="JL31" i="5"/>
  <c r="JK31" i="5"/>
  <c r="JJ31" i="5"/>
  <c r="JI31" i="5"/>
  <c r="JH31" i="5"/>
  <c r="JG31" i="5"/>
  <c r="JF31" i="5"/>
  <c r="JE31" i="5"/>
  <c r="JD31" i="5"/>
  <c r="JC31" i="5"/>
  <c r="JA31" i="5"/>
  <c r="IZ31" i="5"/>
  <c r="IY31" i="5"/>
  <c r="IX31" i="5"/>
  <c r="IW31" i="5"/>
  <c r="IV31" i="5"/>
  <c r="IU31" i="5"/>
  <c r="IT31" i="5"/>
  <c r="IS31" i="5"/>
  <c r="IR31" i="5"/>
  <c r="IQ31" i="5"/>
  <c r="IP31" i="5"/>
  <c r="IO31" i="5"/>
  <c r="IN31" i="5"/>
  <c r="IM31" i="5"/>
  <c r="IL31" i="5"/>
  <c r="IK31" i="5"/>
  <c r="IJ31" i="5"/>
  <c r="II31" i="5"/>
  <c r="IH31" i="5"/>
  <c r="IG31" i="5"/>
  <c r="IF31" i="5"/>
  <c r="IE31" i="5"/>
  <c r="IC31" i="5"/>
  <c r="IB31" i="5"/>
  <c r="IA31" i="5"/>
  <c r="HZ31" i="5"/>
  <c r="HY31" i="5"/>
  <c r="HX31" i="5"/>
  <c r="HW31" i="5"/>
  <c r="HV31" i="5"/>
  <c r="HU31" i="5"/>
  <c r="HT31" i="5"/>
  <c r="HS31" i="5"/>
  <c r="HR31" i="5"/>
  <c r="HQ31" i="5"/>
  <c r="HP31" i="5"/>
  <c r="HO31" i="5"/>
  <c r="HN31" i="5"/>
  <c r="HM31" i="5"/>
  <c r="HL31" i="5"/>
  <c r="HK31" i="5"/>
  <c r="HJ31" i="5"/>
  <c r="HI31" i="5"/>
  <c r="HH31" i="5"/>
  <c r="HG31" i="5"/>
  <c r="HE31" i="5"/>
  <c r="HD31" i="5"/>
  <c r="HC31" i="5"/>
  <c r="HB31" i="5"/>
  <c r="HA31" i="5"/>
  <c r="GZ31" i="5"/>
  <c r="GY31" i="5"/>
  <c r="GX31" i="5"/>
  <c r="GW31" i="5"/>
  <c r="GV31" i="5"/>
  <c r="GU31" i="5"/>
  <c r="GT31" i="5"/>
  <c r="GS31" i="5"/>
  <c r="GR31" i="5"/>
  <c r="GQ31" i="5"/>
  <c r="GP31" i="5"/>
  <c r="GO31" i="5"/>
  <c r="GN31" i="5"/>
  <c r="GM31" i="5"/>
  <c r="GL31" i="5"/>
  <c r="GK31" i="5"/>
  <c r="GJ31" i="5"/>
  <c r="GI31" i="5"/>
  <c r="GG31" i="5"/>
  <c r="GF31" i="5"/>
  <c r="GE31" i="5"/>
  <c r="GD31" i="5"/>
  <c r="GC31" i="5"/>
  <c r="GB31" i="5"/>
  <c r="GA31" i="5"/>
  <c r="FZ31" i="5"/>
  <c r="FY31" i="5"/>
  <c r="FX31" i="5"/>
  <c r="FW31" i="5"/>
  <c r="FV31" i="5"/>
  <c r="FU31" i="5"/>
  <c r="FT31" i="5"/>
  <c r="FS31" i="5"/>
  <c r="FR31" i="5"/>
  <c r="FQ31" i="5"/>
  <c r="FP31" i="5"/>
  <c r="FO31" i="5"/>
  <c r="FN31" i="5"/>
  <c r="FM31" i="5"/>
  <c r="FL31" i="5"/>
  <c r="FK31" i="5"/>
  <c r="FI31" i="5"/>
  <c r="FH31" i="5"/>
  <c r="FG31" i="5"/>
  <c r="FF31" i="5"/>
  <c r="FE31" i="5"/>
  <c r="FD31" i="5"/>
  <c r="FC31" i="5"/>
  <c r="FB31" i="5"/>
  <c r="FA31" i="5"/>
  <c r="EZ31" i="5"/>
  <c r="EY31" i="5"/>
  <c r="EX31" i="5"/>
  <c r="EW31" i="5"/>
  <c r="EV31" i="5"/>
  <c r="EU31" i="5"/>
  <c r="ET31" i="5"/>
  <c r="ES31" i="5"/>
  <c r="ER31" i="5"/>
  <c r="EQ31" i="5"/>
  <c r="EP31" i="5"/>
  <c r="EO31" i="5"/>
  <c r="EN31" i="5"/>
  <c r="EM31" i="5"/>
  <c r="EK31" i="5"/>
  <c r="EJ31" i="5"/>
  <c r="EI31" i="5"/>
  <c r="EH31" i="5"/>
  <c r="I30" i="18" s="1"/>
  <c r="EG31" i="5"/>
  <c r="EF31" i="5"/>
  <c r="EE31" i="5"/>
  <c r="ED31" i="5"/>
  <c r="EC31" i="5"/>
  <c r="EB31" i="5"/>
  <c r="EA31" i="5"/>
  <c r="DZ31" i="5"/>
  <c r="DY31" i="5"/>
  <c r="DX31" i="5"/>
  <c r="DW31" i="5"/>
  <c r="DV31" i="5"/>
  <c r="DU31" i="5"/>
  <c r="DT31" i="5"/>
  <c r="DS31" i="5"/>
  <c r="DR31" i="5"/>
  <c r="DQ31" i="5"/>
  <c r="DP31" i="5"/>
  <c r="DO31" i="5"/>
  <c r="DM31" i="5"/>
  <c r="DL31" i="5"/>
  <c r="DK31" i="5"/>
  <c r="DJ31" i="5"/>
  <c r="DI31" i="5"/>
  <c r="DH31" i="5"/>
  <c r="DG31" i="5"/>
  <c r="DF31" i="5"/>
  <c r="DE31" i="5"/>
  <c r="DD31" i="5"/>
  <c r="DC31" i="5"/>
  <c r="DB31" i="5"/>
  <c r="DA31" i="5"/>
  <c r="CZ31" i="5"/>
  <c r="CY31" i="5"/>
  <c r="CX31" i="5"/>
  <c r="CW31" i="5"/>
  <c r="CV31" i="5"/>
  <c r="CU31" i="5"/>
  <c r="CT31" i="5"/>
  <c r="CS31" i="5"/>
  <c r="CR31" i="5"/>
  <c r="CP31" i="5"/>
  <c r="CO31" i="5"/>
  <c r="CN31" i="5"/>
  <c r="CM31" i="5"/>
  <c r="CL31" i="5"/>
  <c r="G30" i="18" s="1"/>
  <c r="CK31" i="5"/>
  <c r="CJ31" i="5"/>
  <c r="CI31" i="5"/>
  <c r="CH31" i="5"/>
  <c r="CG31" i="5"/>
  <c r="CF31" i="5"/>
  <c r="CE31" i="5"/>
  <c r="CD31" i="5"/>
  <c r="CC31" i="5"/>
  <c r="CB31" i="5"/>
  <c r="CA31" i="5"/>
  <c r="BZ31" i="5"/>
  <c r="BY31" i="5"/>
  <c r="BX31" i="5"/>
  <c r="BW31" i="5"/>
  <c r="BV31" i="5"/>
  <c r="BU31" i="5"/>
  <c r="BT31" i="5"/>
  <c r="BS31" i="5"/>
  <c r="BQ31" i="5"/>
  <c r="BP31" i="5"/>
  <c r="BO31" i="5"/>
  <c r="BN31" i="5"/>
  <c r="BM31" i="5"/>
  <c r="BL31" i="5"/>
  <c r="BK31" i="5"/>
  <c r="BJ31" i="5"/>
  <c r="BI31" i="5"/>
  <c r="BH31" i="5"/>
  <c r="BG31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KD29" i="5"/>
  <c r="KC29" i="5"/>
  <c r="KB29" i="5"/>
  <c r="KA29" i="5"/>
  <c r="JY29" i="5"/>
  <c r="JX29" i="5"/>
  <c r="JW29" i="5"/>
  <c r="JV29" i="5"/>
  <c r="O28" i="18" s="1"/>
  <c r="JU29" i="5"/>
  <c r="JT29" i="5"/>
  <c r="JS29" i="5"/>
  <c r="JR29" i="5"/>
  <c r="JQ29" i="5"/>
  <c r="JP29" i="5"/>
  <c r="JO29" i="5"/>
  <c r="JN29" i="5"/>
  <c r="JM29" i="5"/>
  <c r="JL29" i="5"/>
  <c r="JK29" i="5"/>
  <c r="JJ29" i="5"/>
  <c r="JI29" i="5"/>
  <c r="JH29" i="5"/>
  <c r="JG29" i="5"/>
  <c r="JF29" i="5"/>
  <c r="JE29" i="5"/>
  <c r="JD29" i="5"/>
  <c r="JC29" i="5"/>
  <c r="JA29" i="5"/>
  <c r="IZ29" i="5"/>
  <c r="IY29" i="5"/>
  <c r="IX29" i="5"/>
  <c r="IW29" i="5"/>
  <c r="IV29" i="5"/>
  <c r="IU29" i="5"/>
  <c r="IT29" i="5"/>
  <c r="IS29" i="5"/>
  <c r="IR29" i="5"/>
  <c r="IQ29" i="5"/>
  <c r="IP29" i="5"/>
  <c r="IO29" i="5"/>
  <c r="IN29" i="5"/>
  <c r="IM29" i="5"/>
  <c r="IL29" i="5"/>
  <c r="IK29" i="5"/>
  <c r="IJ29" i="5"/>
  <c r="II29" i="5"/>
  <c r="IH29" i="5"/>
  <c r="IG29" i="5"/>
  <c r="IF29" i="5"/>
  <c r="IE29" i="5"/>
  <c r="IC29" i="5"/>
  <c r="IB29" i="5"/>
  <c r="IA29" i="5"/>
  <c r="HZ29" i="5"/>
  <c r="HY29" i="5"/>
  <c r="HX29" i="5"/>
  <c r="HW29" i="5"/>
  <c r="HV29" i="5"/>
  <c r="HU29" i="5"/>
  <c r="HT29" i="5"/>
  <c r="HS29" i="5"/>
  <c r="HR29" i="5"/>
  <c r="HQ29" i="5"/>
  <c r="HP29" i="5"/>
  <c r="HO29" i="5"/>
  <c r="HN29" i="5"/>
  <c r="HM29" i="5"/>
  <c r="HL29" i="5"/>
  <c r="HK29" i="5"/>
  <c r="HJ29" i="5"/>
  <c r="HI29" i="5"/>
  <c r="HH29" i="5"/>
  <c r="HG29" i="5"/>
  <c r="HE29" i="5"/>
  <c r="HD29" i="5"/>
  <c r="HC29" i="5"/>
  <c r="HB29" i="5"/>
  <c r="HA29" i="5"/>
  <c r="GZ29" i="5"/>
  <c r="GY29" i="5"/>
  <c r="GX29" i="5"/>
  <c r="GW29" i="5"/>
  <c r="GV29" i="5"/>
  <c r="GU29" i="5"/>
  <c r="GT29" i="5"/>
  <c r="GS29" i="5"/>
  <c r="GR29" i="5"/>
  <c r="GQ29" i="5"/>
  <c r="GP29" i="5"/>
  <c r="GO29" i="5"/>
  <c r="GN29" i="5"/>
  <c r="GM29" i="5"/>
  <c r="GL29" i="5"/>
  <c r="GK29" i="5"/>
  <c r="GJ29" i="5"/>
  <c r="GI29" i="5"/>
  <c r="GG29" i="5"/>
  <c r="GF29" i="5"/>
  <c r="GE29" i="5"/>
  <c r="GD29" i="5"/>
  <c r="GC29" i="5"/>
  <c r="GB29" i="5"/>
  <c r="GA29" i="5"/>
  <c r="FZ29" i="5"/>
  <c r="FY29" i="5"/>
  <c r="FX29" i="5"/>
  <c r="FW29" i="5"/>
  <c r="FV29" i="5"/>
  <c r="FU29" i="5"/>
  <c r="FT29" i="5"/>
  <c r="FS29" i="5"/>
  <c r="FR29" i="5"/>
  <c r="FQ29" i="5"/>
  <c r="FP29" i="5"/>
  <c r="FO29" i="5"/>
  <c r="FN29" i="5"/>
  <c r="FM29" i="5"/>
  <c r="FL29" i="5"/>
  <c r="FK29" i="5"/>
  <c r="FI29" i="5"/>
  <c r="FH29" i="5"/>
  <c r="FG29" i="5"/>
  <c r="FF29" i="5"/>
  <c r="FE29" i="5"/>
  <c r="FD29" i="5"/>
  <c r="FC29" i="5"/>
  <c r="FB29" i="5"/>
  <c r="FA29" i="5"/>
  <c r="EZ29" i="5"/>
  <c r="EY29" i="5"/>
  <c r="EX29" i="5"/>
  <c r="EW29" i="5"/>
  <c r="EV29" i="5"/>
  <c r="EU29" i="5"/>
  <c r="ET29" i="5"/>
  <c r="ES29" i="5"/>
  <c r="ER29" i="5"/>
  <c r="EQ29" i="5"/>
  <c r="EP29" i="5"/>
  <c r="EO29" i="5"/>
  <c r="EN29" i="5"/>
  <c r="EM29" i="5"/>
  <c r="EK29" i="5"/>
  <c r="EJ29" i="5"/>
  <c r="EI29" i="5"/>
  <c r="EH29" i="5"/>
  <c r="EG29" i="5"/>
  <c r="EF29" i="5"/>
  <c r="EE29" i="5"/>
  <c r="ED29" i="5"/>
  <c r="EC29" i="5"/>
  <c r="EB29" i="5"/>
  <c r="EA29" i="5"/>
  <c r="DZ29" i="5"/>
  <c r="DY29" i="5"/>
  <c r="DX29" i="5"/>
  <c r="DW29" i="5"/>
  <c r="DV29" i="5"/>
  <c r="DU29" i="5"/>
  <c r="DT29" i="5"/>
  <c r="DS29" i="5"/>
  <c r="DR29" i="5"/>
  <c r="DQ29" i="5"/>
  <c r="DP29" i="5"/>
  <c r="DO29" i="5"/>
  <c r="DM29" i="5"/>
  <c r="DL29" i="5"/>
  <c r="DK29" i="5"/>
  <c r="DJ29" i="5"/>
  <c r="DI29" i="5"/>
  <c r="DH29" i="5"/>
  <c r="DG29" i="5"/>
  <c r="DF29" i="5"/>
  <c r="DE29" i="5"/>
  <c r="DD29" i="5"/>
  <c r="DC29" i="5"/>
  <c r="DB29" i="5"/>
  <c r="DA29" i="5"/>
  <c r="CZ29" i="5"/>
  <c r="CY29" i="5"/>
  <c r="CX29" i="5"/>
  <c r="CW29" i="5"/>
  <c r="CV29" i="5"/>
  <c r="CU29" i="5"/>
  <c r="CT29" i="5"/>
  <c r="CS29" i="5"/>
  <c r="CR29" i="5"/>
  <c r="CP29" i="5"/>
  <c r="CO29" i="5"/>
  <c r="CN29" i="5"/>
  <c r="CM29" i="5"/>
  <c r="CL29" i="5"/>
  <c r="CK29" i="5"/>
  <c r="CJ29" i="5"/>
  <c r="CI29" i="5"/>
  <c r="CH29" i="5"/>
  <c r="CG29" i="5"/>
  <c r="CF29" i="5"/>
  <c r="CE29" i="5"/>
  <c r="CD29" i="5"/>
  <c r="CC29" i="5"/>
  <c r="CB29" i="5"/>
  <c r="CA29" i="5"/>
  <c r="BZ29" i="5"/>
  <c r="BY29" i="5"/>
  <c r="BX29" i="5"/>
  <c r="BW29" i="5"/>
  <c r="BV29" i="5"/>
  <c r="BU29" i="5"/>
  <c r="BT29" i="5"/>
  <c r="BS29" i="5"/>
  <c r="BQ29" i="5"/>
  <c r="BP29" i="5"/>
  <c r="BO29" i="5"/>
  <c r="BN29" i="5"/>
  <c r="BM29" i="5"/>
  <c r="BL29" i="5"/>
  <c r="BK29" i="5"/>
  <c r="BJ29" i="5"/>
  <c r="BI29" i="5"/>
  <c r="BH29" i="5"/>
  <c r="BG29" i="5"/>
  <c r="BF29" i="5"/>
  <c r="BE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IW27" i="5"/>
  <c r="IV27" i="5"/>
  <c r="IU27" i="5"/>
  <c r="IT27" i="5"/>
  <c r="IS27" i="5"/>
  <c r="IR27" i="5"/>
  <c r="IQ27" i="5"/>
  <c r="IP27" i="5"/>
  <c r="IO27" i="5"/>
  <c r="IN27" i="5"/>
  <c r="IM27" i="5"/>
  <c r="IL27" i="5"/>
  <c r="IK27" i="5"/>
  <c r="IJ27" i="5"/>
  <c r="II27" i="5"/>
  <c r="HY27" i="5"/>
  <c r="HX27" i="5"/>
  <c r="HW27" i="5"/>
  <c r="HV27" i="5"/>
  <c r="HU27" i="5"/>
  <c r="HT27" i="5"/>
  <c r="HS27" i="5"/>
  <c r="HR27" i="5"/>
  <c r="HQ27" i="5"/>
  <c r="HP27" i="5"/>
  <c r="HO27" i="5"/>
  <c r="HN27" i="5"/>
  <c r="HM27" i="5"/>
  <c r="HL27" i="5"/>
  <c r="HK27" i="5"/>
  <c r="HA27" i="5"/>
  <c r="GZ27" i="5"/>
  <c r="GY27" i="5"/>
  <c r="GX27" i="5"/>
  <c r="GW27" i="5"/>
  <c r="GV27" i="5"/>
  <c r="GU27" i="5"/>
  <c r="GT27" i="5"/>
  <c r="GS27" i="5"/>
  <c r="GR27" i="5"/>
  <c r="GQ27" i="5"/>
  <c r="GP27" i="5"/>
  <c r="GO27" i="5"/>
  <c r="GN27" i="5"/>
  <c r="GM27" i="5"/>
  <c r="GC27" i="5"/>
  <c r="GB27" i="5"/>
  <c r="GA27" i="5"/>
  <c r="FZ27" i="5"/>
  <c r="K26" i="19" s="1"/>
  <c r="FY27" i="5"/>
  <c r="FX27" i="5"/>
  <c r="FW27" i="5"/>
  <c r="FV27" i="5"/>
  <c r="FU27" i="5"/>
  <c r="FT27" i="5"/>
  <c r="FS27" i="5"/>
  <c r="FR27" i="5"/>
  <c r="FQ27" i="5"/>
  <c r="FP27" i="5"/>
  <c r="FO27" i="5"/>
  <c r="DR27" i="5"/>
  <c r="DQ27" i="5"/>
  <c r="DP27" i="5"/>
  <c r="DO27" i="5"/>
  <c r="DM27" i="5"/>
  <c r="DL27" i="5"/>
  <c r="DK27" i="5"/>
  <c r="DJ27" i="5"/>
  <c r="DI27" i="5"/>
  <c r="DH27" i="5"/>
  <c r="DG27" i="5"/>
  <c r="DF27" i="5"/>
  <c r="DE27" i="5"/>
  <c r="DD27" i="5"/>
  <c r="DC27" i="5"/>
  <c r="DB27" i="5"/>
  <c r="DA27" i="5"/>
  <c r="CZ27" i="5"/>
  <c r="CY27" i="5"/>
  <c r="CX27" i="5"/>
  <c r="CW27" i="5"/>
  <c r="CV27" i="5"/>
  <c r="CU27" i="5"/>
  <c r="CT27" i="5"/>
  <c r="CS27" i="5"/>
  <c r="CR27" i="5"/>
  <c r="CP27" i="5"/>
  <c r="CO27" i="5"/>
  <c r="CN27" i="5"/>
  <c r="CM27" i="5"/>
  <c r="CL27" i="5"/>
  <c r="CK27" i="5"/>
  <c r="CJ27" i="5"/>
  <c r="CI27" i="5"/>
  <c r="CH27" i="5"/>
  <c r="CG27" i="5"/>
  <c r="CF27" i="5"/>
  <c r="CE27" i="5"/>
  <c r="CD27" i="5"/>
  <c r="CC27" i="5"/>
  <c r="CB27" i="5"/>
  <c r="CA27" i="5"/>
  <c r="BZ27" i="5"/>
  <c r="BY27" i="5"/>
  <c r="BX27" i="5"/>
  <c r="BW27" i="5"/>
  <c r="BM27" i="5"/>
  <c r="BL27" i="5"/>
  <c r="BK27" i="5"/>
  <c r="BJ27" i="5"/>
  <c r="BI27" i="5"/>
  <c r="BH27" i="5"/>
  <c r="BG27" i="5"/>
  <c r="BF27" i="5"/>
  <c r="BE27" i="5"/>
  <c r="BD27" i="5"/>
  <c r="BC27" i="5"/>
  <c r="BB27" i="5"/>
  <c r="BA27" i="5"/>
  <c r="AZ27" i="5"/>
  <c r="AY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KD25" i="5"/>
  <c r="KC25" i="5"/>
  <c r="KB25" i="5"/>
  <c r="KA25" i="5"/>
  <c r="JY25" i="5"/>
  <c r="JX25" i="5"/>
  <c r="JW25" i="5"/>
  <c r="JV25" i="5"/>
  <c r="JU25" i="5"/>
  <c r="JT25" i="5"/>
  <c r="JS25" i="5"/>
  <c r="JR25" i="5"/>
  <c r="JQ25" i="5"/>
  <c r="JP25" i="5"/>
  <c r="JO25" i="5"/>
  <c r="JN25" i="5"/>
  <c r="JM25" i="5"/>
  <c r="JL25" i="5"/>
  <c r="JK25" i="5"/>
  <c r="JJ25" i="5"/>
  <c r="JI25" i="5"/>
  <c r="JH25" i="5"/>
  <c r="JG25" i="5"/>
  <c r="JF25" i="5"/>
  <c r="JE25" i="5"/>
  <c r="JD25" i="5"/>
  <c r="JC25" i="5"/>
  <c r="JA25" i="5"/>
  <c r="IZ25" i="5"/>
  <c r="IY25" i="5"/>
  <c r="IX25" i="5"/>
  <c r="N24" i="18" s="1"/>
  <c r="IW25" i="5"/>
  <c r="IV25" i="5"/>
  <c r="IU25" i="5"/>
  <c r="IT25" i="5"/>
  <c r="IS25" i="5"/>
  <c r="IR25" i="5"/>
  <c r="IQ25" i="5"/>
  <c r="IP25" i="5"/>
  <c r="IO25" i="5"/>
  <c r="IN25" i="5"/>
  <c r="IM25" i="5"/>
  <c r="IL25" i="5"/>
  <c r="IK25" i="5"/>
  <c r="IJ25" i="5"/>
  <c r="II25" i="5"/>
  <c r="IH25" i="5"/>
  <c r="IG25" i="5"/>
  <c r="IF25" i="5"/>
  <c r="IE25" i="5"/>
  <c r="IC25" i="5"/>
  <c r="IB25" i="5"/>
  <c r="IA25" i="5"/>
  <c r="HZ25" i="5"/>
  <c r="M24" i="18" s="1"/>
  <c r="HY25" i="5"/>
  <c r="HX25" i="5"/>
  <c r="HW25" i="5"/>
  <c r="HV25" i="5"/>
  <c r="HU25" i="5"/>
  <c r="HT25" i="5"/>
  <c r="HS25" i="5"/>
  <c r="HR25" i="5"/>
  <c r="HQ25" i="5"/>
  <c r="HP25" i="5"/>
  <c r="HO25" i="5"/>
  <c r="HN25" i="5"/>
  <c r="HM25" i="5"/>
  <c r="HL25" i="5"/>
  <c r="HK25" i="5"/>
  <c r="HJ25" i="5"/>
  <c r="HI25" i="5"/>
  <c r="HH25" i="5"/>
  <c r="HG25" i="5"/>
  <c r="HE25" i="5"/>
  <c r="HD25" i="5"/>
  <c r="HC25" i="5"/>
  <c r="HB25" i="5"/>
  <c r="L24" i="18" s="1"/>
  <c r="HA25" i="5"/>
  <c r="GZ25" i="5"/>
  <c r="GY25" i="5"/>
  <c r="GX25" i="5"/>
  <c r="GW25" i="5"/>
  <c r="GV25" i="5"/>
  <c r="GU25" i="5"/>
  <c r="GT25" i="5"/>
  <c r="GS25" i="5"/>
  <c r="GR25" i="5"/>
  <c r="GQ25" i="5"/>
  <c r="GP25" i="5"/>
  <c r="GO25" i="5"/>
  <c r="GN25" i="5"/>
  <c r="GM25" i="5"/>
  <c r="GL25" i="5"/>
  <c r="GK25" i="5"/>
  <c r="GJ25" i="5"/>
  <c r="GI25" i="5"/>
  <c r="GG25" i="5"/>
  <c r="GF25" i="5"/>
  <c r="GE25" i="5"/>
  <c r="GD25" i="5"/>
  <c r="K24" i="18" s="1"/>
  <c r="GC25" i="5"/>
  <c r="GB25" i="5"/>
  <c r="GA25" i="5"/>
  <c r="FZ25" i="5"/>
  <c r="FY25" i="5"/>
  <c r="FX25" i="5"/>
  <c r="FW25" i="5"/>
  <c r="FV25" i="5"/>
  <c r="FU25" i="5"/>
  <c r="FT25" i="5"/>
  <c r="FS25" i="5"/>
  <c r="FR25" i="5"/>
  <c r="FQ25" i="5"/>
  <c r="FP25" i="5"/>
  <c r="FO25" i="5"/>
  <c r="FN25" i="5"/>
  <c r="FM25" i="5"/>
  <c r="FL25" i="5"/>
  <c r="FK25" i="5"/>
  <c r="FI25" i="5"/>
  <c r="FH25" i="5"/>
  <c r="FG25" i="5"/>
  <c r="FF25" i="5"/>
  <c r="FE25" i="5"/>
  <c r="FD25" i="5"/>
  <c r="FC25" i="5"/>
  <c r="FB25" i="5"/>
  <c r="FA25" i="5"/>
  <c r="EZ25" i="5"/>
  <c r="EY25" i="5"/>
  <c r="EX25" i="5"/>
  <c r="EW25" i="5"/>
  <c r="EV25" i="5"/>
  <c r="EU25" i="5"/>
  <c r="ET25" i="5"/>
  <c r="ES25" i="5"/>
  <c r="ER25" i="5"/>
  <c r="EQ25" i="5"/>
  <c r="EP25" i="5"/>
  <c r="EO25" i="5"/>
  <c r="EN25" i="5"/>
  <c r="EM25" i="5"/>
  <c r="EK25" i="5"/>
  <c r="EJ25" i="5"/>
  <c r="EI25" i="5"/>
  <c r="EH25" i="5"/>
  <c r="EG25" i="5"/>
  <c r="EF25" i="5"/>
  <c r="EE25" i="5"/>
  <c r="ED25" i="5"/>
  <c r="EC25" i="5"/>
  <c r="EB25" i="5"/>
  <c r="EA25" i="5"/>
  <c r="DZ25" i="5"/>
  <c r="DY25" i="5"/>
  <c r="DX25" i="5"/>
  <c r="DW25" i="5"/>
  <c r="DV25" i="5"/>
  <c r="DU25" i="5"/>
  <c r="DT25" i="5"/>
  <c r="DS25" i="5"/>
  <c r="DR25" i="5"/>
  <c r="DQ25" i="5"/>
  <c r="DP25" i="5"/>
  <c r="DO25" i="5"/>
  <c r="DM25" i="5"/>
  <c r="DL25" i="5"/>
  <c r="DK25" i="5"/>
  <c r="DJ25" i="5"/>
  <c r="DI25" i="5"/>
  <c r="DH25" i="5"/>
  <c r="DG25" i="5"/>
  <c r="DF25" i="5"/>
  <c r="DE25" i="5"/>
  <c r="DD25" i="5"/>
  <c r="DC25" i="5"/>
  <c r="DB25" i="5"/>
  <c r="DA25" i="5"/>
  <c r="CZ25" i="5"/>
  <c r="CY25" i="5"/>
  <c r="CX25" i="5"/>
  <c r="CW25" i="5"/>
  <c r="CV25" i="5"/>
  <c r="CU25" i="5"/>
  <c r="CT25" i="5"/>
  <c r="CS25" i="5"/>
  <c r="CR25" i="5"/>
  <c r="CP25" i="5"/>
  <c r="CO25" i="5"/>
  <c r="CN25" i="5"/>
  <c r="CM25" i="5"/>
  <c r="CL25" i="5"/>
  <c r="CK25" i="5"/>
  <c r="CJ25" i="5"/>
  <c r="CI25" i="5"/>
  <c r="CH25" i="5"/>
  <c r="CG25" i="5"/>
  <c r="CF25" i="5"/>
  <c r="CE25" i="5"/>
  <c r="CD25" i="5"/>
  <c r="CC25" i="5"/>
  <c r="CB25" i="5"/>
  <c r="CA25" i="5"/>
  <c r="BZ25" i="5"/>
  <c r="BY25" i="5"/>
  <c r="BX25" i="5"/>
  <c r="BW25" i="5"/>
  <c r="BV25" i="5"/>
  <c r="BU25" i="5"/>
  <c r="BT25" i="5"/>
  <c r="BS25" i="5"/>
  <c r="BQ25" i="5"/>
  <c r="BP25" i="5"/>
  <c r="BO25" i="5"/>
  <c r="BN25" i="5"/>
  <c r="BM25" i="5"/>
  <c r="BL25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S25" i="5"/>
  <c r="AR25" i="5"/>
  <c r="AQ25" i="5"/>
  <c r="AP25" i="5"/>
  <c r="E24" i="18" s="1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U25" i="5"/>
  <c r="T25" i="5"/>
  <c r="S25" i="5"/>
  <c r="R25" i="5"/>
  <c r="D24" i="18" s="1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KD23" i="5"/>
  <c r="KC23" i="5"/>
  <c r="KB23" i="5"/>
  <c r="KA23" i="5"/>
  <c r="JY23" i="5"/>
  <c r="JX23" i="5"/>
  <c r="JW23" i="5"/>
  <c r="JV23" i="5"/>
  <c r="JU23" i="5"/>
  <c r="JT23" i="5"/>
  <c r="JS23" i="5"/>
  <c r="JR23" i="5"/>
  <c r="JQ23" i="5"/>
  <c r="JP23" i="5"/>
  <c r="JO23" i="5"/>
  <c r="JN23" i="5"/>
  <c r="JM23" i="5"/>
  <c r="JL23" i="5"/>
  <c r="JK23" i="5"/>
  <c r="JJ23" i="5"/>
  <c r="JI23" i="5"/>
  <c r="JH23" i="5"/>
  <c r="JG23" i="5"/>
  <c r="JF23" i="5"/>
  <c r="JE23" i="5"/>
  <c r="JD23" i="5"/>
  <c r="JC23" i="5"/>
  <c r="JA23" i="5"/>
  <c r="IZ23" i="5"/>
  <c r="IY23" i="5"/>
  <c r="IX23" i="5"/>
  <c r="IW23" i="5"/>
  <c r="IV23" i="5"/>
  <c r="IU23" i="5"/>
  <c r="IT23" i="5"/>
  <c r="IS23" i="5"/>
  <c r="IR23" i="5"/>
  <c r="IQ23" i="5"/>
  <c r="IP23" i="5"/>
  <c r="IO23" i="5"/>
  <c r="IN23" i="5"/>
  <c r="IM23" i="5"/>
  <c r="IL23" i="5"/>
  <c r="IK23" i="5"/>
  <c r="IJ23" i="5"/>
  <c r="II23" i="5"/>
  <c r="IH23" i="5"/>
  <c r="IG23" i="5"/>
  <c r="IF23" i="5"/>
  <c r="IE23" i="5"/>
  <c r="IC23" i="5"/>
  <c r="IB23" i="5"/>
  <c r="IA23" i="5"/>
  <c r="HZ23" i="5"/>
  <c r="HY23" i="5"/>
  <c r="HX23" i="5"/>
  <c r="HW23" i="5"/>
  <c r="HV23" i="5"/>
  <c r="HU23" i="5"/>
  <c r="HT23" i="5"/>
  <c r="HS23" i="5"/>
  <c r="HR23" i="5"/>
  <c r="HQ23" i="5"/>
  <c r="HP23" i="5"/>
  <c r="HO23" i="5"/>
  <c r="HN23" i="5"/>
  <c r="HM23" i="5"/>
  <c r="HL23" i="5"/>
  <c r="HK23" i="5"/>
  <c r="HJ23" i="5"/>
  <c r="HI23" i="5"/>
  <c r="HH23" i="5"/>
  <c r="HG23" i="5"/>
  <c r="HE23" i="5"/>
  <c r="HD23" i="5"/>
  <c r="HC23" i="5"/>
  <c r="HB23" i="5"/>
  <c r="HA23" i="5"/>
  <c r="GZ23" i="5"/>
  <c r="GY23" i="5"/>
  <c r="GX23" i="5"/>
  <c r="GW23" i="5"/>
  <c r="GV23" i="5"/>
  <c r="GU23" i="5"/>
  <c r="GT23" i="5"/>
  <c r="GS23" i="5"/>
  <c r="GR23" i="5"/>
  <c r="GQ23" i="5"/>
  <c r="GP23" i="5"/>
  <c r="GO23" i="5"/>
  <c r="GN23" i="5"/>
  <c r="GM23" i="5"/>
  <c r="GL23" i="5"/>
  <c r="GK23" i="5"/>
  <c r="GJ23" i="5"/>
  <c r="GI23" i="5"/>
  <c r="GG23" i="5"/>
  <c r="GF23" i="5"/>
  <c r="GE23" i="5"/>
  <c r="GD23" i="5"/>
  <c r="GC23" i="5"/>
  <c r="GB23" i="5"/>
  <c r="GA23" i="5"/>
  <c r="FZ23" i="5"/>
  <c r="FY23" i="5"/>
  <c r="FX23" i="5"/>
  <c r="FW23" i="5"/>
  <c r="FV23" i="5"/>
  <c r="FU23" i="5"/>
  <c r="FT23" i="5"/>
  <c r="FS23" i="5"/>
  <c r="FR23" i="5"/>
  <c r="FQ23" i="5"/>
  <c r="FP23" i="5"/>
  <c r="FO23" i="5"/>
  <c r="FN23" i="5"/>
  <c r="FM23" i="5"/>
  <c r="FL23" i="5"/>
  <c r="FK23" i="5"/>
  <c r="FI23" i="5"/>
  <c r="FH23" i="5"/>
  <c r="FG23" i="5"/>
  <c r="FF23" i="5"/>
  <c r="J22" i="18" s="1"/>
  <c r="FE23" i="5"/>
  <c r="FD23" i="5"/>
  <c r="FC23" i="5"/>
  <c r="FB23" i="5"/>
  <c r="FA23" i="5"/>
  <c r="EZ23" i="5"/>
  <c r="EY23" i="5"/>
  <c r="EX23" i="5"/>
  <c r="EW23" i="5"/>
  <c r="EV23" i="5"/>
  <c r="EU23" i="5"/>
  <c r="ET23" i="5"/>
  <c r="ES23" i="5"/>
  <c r="ER23" i="5"/>
  <c r="EQ23" i="5"/>
  <c r="EP23" i="5"/>
  <c r="EO23" i="5"/>
  <c r="EN23" i="5"/>
  <c r="EM23" i="5"/>
  <c r="EK23" i="5"/>
  <c r="EJ23" i="5"/>
  <c r="EI23" i="5"/>
  <c r="EH23" i="5"/>
  <c r="EG23" i="5"/>
  <c r="EF23" i="5"/>
  <c r="EE23" i="5"/>
  <c r="ED23" i="5"/>
  <c r="EC23" i="5"/>
  <c r="EB23" i="5"/>
  <c r="EA23" i="5"/>
  <c r="DZ23" i="5"/>
  <c r="DY23" i="5"/>
  <c r="DX23" i="5"/>
  <c r="DW23" i="5"/>
  <c r="DV23" i="5"/>
  <c r="DU23" i="5"/>
  <c r="DT23" i="5"/>
  <c r="DS23" i="5"/>
  <c r="DR23" i="5"/>
  <c r="DQ23" i="5"/>
  <c r="DP23" i="5"/>
  <c r="DO23" i="5"/>
  <c r="DM23" i="5"/>
  <c r="DL23" i="5"/>
  <c r="DK23" i="5"/>
  <c r="DJ23" i="5"/>
  <c r="DI23" i="5"/>
  <c r="DH23" i="5"/>
  <c r="DG23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S23" i="5"/>
  <c r="CR23" i="5"/>
  <c r="CP23" i="5"/>
  <c r="CO23" i="5"/>
  <c r="CN23" i="5"/>
  <c r="CM23" i="5"/>
  <c r="CL23" i="5"/>
  <c r="CK23" i="5"/>
  <c r="CJ23" i="5"/>
  <c r="CI23" i="5"/>
  <c r="CH23" i="5"/>
  <c r="CG23" i="5"/>
  <c r="CF23" i="5"/>
  <c r="CE23" i="5"/>
  <c r="CD23" i="5"/>
  <c r="CC23" i="5"/>
  <c r="CB23" i="5"/>
  <c r="CA23" i="5"/>
  <c r="BZ23" i="5"/>
  <c r="BY23" i="5"/>
  <c r="BX23" i="5"/>
  <c r="BW23" i="5"/>
  <c r="BV23" i="5"/>
  <c r="BU23" i="5"/>
  <c r="BT23" i="5"/>
  <c r="BS23" i="5"/>
  <c r="BQ23" i="5"/>
  <c r="BP23" i="5"/>
  <c r="BO23" i="5"/>
  <c r="BN23" i="5"/>
  <c r="F22" i="18" s="1"/>
  <c r="BM23" i="5"/>
  <c r="BL23" i="5"/>
  <c r="BK23" i="5"/>
  <c r="BJ23" i="5"/>
  <c r="BI23" i="5"/>
  <c r="BH23" i="5"/>
  <c r="BG23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JU21" i="5"/>
  <c r="JT21" i="5"/>
  <c r="JS21" i="5"/>
  <c r="JR21" i="5"/>
  <c r="O20" i="19" s="1"/>
  <c r="JQ21" i="5"/>
  <c r="JP21" i="5"/>
  <c r="JO21" i="5"/>
  <c r="JN21" i="5"/>
  <c r="JM21" i="5"/>
  <c r="JL21" i="5"/>
  <c r="JK21" i="5"/>
  <c r="JJ21" i="5"/>
  <c r="JI21" i="5"/>
  <c r="JH21" i="5"/>
  <c r="JG21" i="5"/>
  <c r="IW21" i="5"/>
  <c r="IV21" i="5"/>
  <c r="IU21" i="5"/>
  <c r="IT21" i="5"/>
  <c r="N20" i="19" s="1"/>
  <c r="IS21" i="5"/>
  <c r="IR21" i="5"/>
  <c r="IQ21" i="5"/>
  <c r="IP21" i="5"/>
  <c r="IO21" i="5"/>
  <c r="IN21" i="5"/>
  <c r="IM21" i="5"/>
  <c r="IL21" i="5"/>
  <c r="IK21" i="5"/>
  <c r="IJ21" i="5"/>
  <c r="II21" i="5"/>
  <c r="HY21" i="5"/>
  <c r="HX21" i="5"/>
  <c r="HW21" i="5"/>
  <c r="HV21" i="5"/>
  <c r="M20" i="19" s="1"/>
  <c r="HU21" i="5"/>
  <c r="HT21" i="5"/>
  <c r="HS21" i="5"/>
  <c r="HR21" i="5"/>
  <c r="HQ21" i="5"/>
  <c r="HP21" i="5"/>
  <c r="HO21" i="5"/>
  <c r="HN21" i="5"/>
  <c r="HM21" i="5"/>
  <c r="HL21" i="5"/>
  <c r="HK21" i="5"/>
  <c r="HA21" i="5"/>
  <c r="GZ21" i="5"/>
  <c r="GY21" i="5"/>
  <c r="GX21" i="5"/>
  <c r="L20" i="19" s="1"/>
  <c r="GW21" i="5"/>
  <c r="GV21" i="5"/>
  <c r="GU21" i="5"/>
  <c r="GT21" i="5"/>
  <c r="GS21" i="5"/>
  <c r="GR21" i="5"/>
  <c r="GQ21" i="5"/>
  <c r="GP21" i="5"/>
  <c r="GO21" i="5"/>
  <c r="GN21" i="5"/>
  <c r="GM21" i="5"/>
  <c r="GC21" i="5"/>
  <c r="GB21" i="5"/>
  <c r="GA21" i="5"/>
  <c r="FZ21" i="5"/>
  <c r="K20" i="19" s="1"/>
  <c r="FY21" i="5"/>
  <c r="FX21" i="5"/>
  <c r="FW21" i="5"/>
  <c r="FV21" i="5"/>
  <c r="FU21" i="5"/>
  <c r="FT21" i="5"/>
  <c r="FS21" i="5"/>
  <c r="FR21" i="5"/>
  <c r="FQ21" i="5"/>
  <c r="FP21" i="5"/>
  <c r="FO21" i="5"/>
  <c r="FE21" i="5"/>
  <c r="FD21" i="5"/>
  <c r="FC21" i="5"/>
  <c r="FB21" i="5"/>
  <c r="J20" i="19" s="1"/>
  <c r="FA21" i="5"/>
  <c r="EZ21" i="5"/>
  <c r="EY21" i="5"/>
  <c r="EX21" i="5"/>
  <c r="EW21" i="5"/>
  <c r="EV21" i="5"/>
  <c r="EU21" i="5"/>
  <c r="ET21" i="5"/>
  <c r="ES21" i="5"/>
  <c r="ER21" i="5"/>
  <c r="EQ21" i="5"/>
  <c r="EG21" i="5"/>
  <c r="EF21" i="5"/>
  <c r="EE21" i="5"/>
  <c r="ED21" i="5"/>
  <c r="I20" i="19" s="1"/>
  <c r="EC21" i="5"/>
  <c r="EB21" i="5"/>
  <c r="EA21" i="5"/>
  <c r="DZ21" i="5"/>
  <c r="DY21" i="5"/>
  <c r="DX21" i="5"/>
  <c r="DW21" i="5"/>
  <c r="DV21" i="5"/>
  <c r="DU21" i="5"/>
  <c r="DT21" i="5"/>
  <c r="DS21" i="5"/>
  <c r="DI21" i="5"/>
  <c r="DH21" i="5"/>
  <c r="DG21" i="5"/>
  <c r="DF21" i="5"/>
  <c r="H20" i="19" s="1"/>
  <c r="DE21" i="5"/>
  <c r="DD21" i="5"/>
  <c r="DC21" i="5"/>
  <c r="DB21" i="5"/>
  <c r="DA21" i="5"/>
  <c r="CZ21" i="5"/>
  <c r="CY21" i="5"/>
  <c r="CX21" i="5"/>
  <c r="CW21" i="5"/>
  <c r="CV21" i="5"/>
  <c r="CU21" i="5"/>
  <c r="CK21" i="5"/>
  <c r="CJ21" i="5"/>
  <c r="CI21" i="5"/>
  <c r="CH21" i="5"/>
  <c r="G20" i="19" s="1"/>
  <c r="CG21" i="5"/>
  <c r="CF21" i="5"/>
  <c r="CE21" i="5"/>
  <c r="CD21" i="5"/>
  <c r="CC21" i="5"/>
  <c r="CB21" i="5"/>
  <c r="CA21" i="5"/>
  <c r="BZ21" i="5"/>
  <c r="BY21" i="5"/>
  <c r="BX21" i="5"/>
  <c r="BW21" i="5"/>
  <c r="BM21" i="5"/>
  <c r="BL21" i="5"/>
  <c r="BK21" i="5"/>
  <c r="BJ21" i="5"/>
  <c r="F20" i="19" s="1"/>
  <c r="BI21" i="5"/>
  <c r="BH21" i="5"/>
  <c r="BG21" i="5"/>
  <c r="BF21" i="5"/>
  <c r="BE21" i="5"/>
  <c r="BD21" i="5"/>
  <c r="BC21" i="5"/>
  <c r="BB21" i="5"/>
  <c r="BA21" i="5"/>
  <c r="AZ21" i="5"/>
  <c r="AY21" i="5"/>
  <c r="AO21" i="5"/>
  <c r="AN21" i="5"/>
  <c r="AM21" i="5"/>
  <c r="AL21" i="5"/>
  <c r="E20" i="19" s="1"/>
  <c r="AK21" i="5"/>
  <c r="AJ21" i="5"/>
  <c r="AI21" i="5"/>
  <c r="AH21" i="5"/>
  <c r="AG21" i="5"/>
  <c r="AF21" i="5"/>
  <c r="AE21" i="5"/>
  <c r="AD21" i="5"/>
  <c r="AC21" i="5"/>
  <c r="AB21" i="5"/>
  <c r="AA21" i="5"/>
  <c r="Q21" i="5"/>
  <c r="P21" i="5"/>
  <c r="O21" i="5"/>
  <c r="N21" i="5"/>
  <c r="D20" i="19" s="1"/>
  <c r="M21" i="5"/>
  <c r="L21" i="5"/>
  <c r="K21" i="5"/>
  <c r="J21" i="5"/>
  <c r="I21" i="5"/>
  <c r="H21" i="5"/>
  <c r="G21" i="5"/>
  <c r="F21" i="5"/>
  <c r="E21" i="5"/>
  <c r="D21" i="5"/>
  <c r="C21" i="5"/>
  <c r="KD19" i="5"/>
  <c r="KC19" i="5"/>
  <c r="KB19" i="5"/>
  <c r="KA19" i="5"/>
  <c r="JY19" i="5"/>
  <c r="JX19" i="5"/>
  <c r="JW19" i="5"/>
  <c r="JV19" i="5"/>
  <c r="JU19" i="5"/>
  <c r="JT19" i="5"/>
  <c r="JS19" i="5"/>
  <c r="JR19" i="5"/>
  <c r="JQ19" i="5"/>
  <c r="JP19" i="5"/>
  <c r="JO19" i="5"/>
  <c r="JN19" i="5"/>
  <c r="JM19" i="5"/>
  <c r="JL19" i="5"/>
  <c r="JK19" i="5"/>
  <c r="JJ19" i="5"/>
  <c r="JI19" i="5"/>
  <c r="JH19" i="5"/>
  <c r="JG19" i="5"/>
  <c r="JF19" i="5"/>
  <c r="JE19" i="5"/>
  <c r="JD19" i="5"/>
  <c r="JC19" i="5"/>
  <c r="JA19" i="5"/>
  <c r="IZ19" i="5"/>
  <c r="IY19" i="5"/>
  <c r="IX19" i="5"/>
  <c r="IW19" i="5"/>
  <c r="IV19" i="5"/>
  <c r="IU19" i="5"/>
  <c r="IT19" i="5"/>
  <c r="IS19" i="5"/>
  <c r="IR19" i="5"/>
  <c r="IQ19" i="5"/>
  <c r="IP19" i="5"/>
  <c r="IO19" i="5"/>
  <c r="IN19" i="5"/>
  <c r="IM19" i="5"/>
  <c r="IL19" i="5"/>
  <c r="IK19" i="5"/>
  <c r="IJ19" i="5"/>
  <c r="II19" i="5"/>
  <c r="IH19" i="5"/>
  <c r="IG19" i="5"/>
  <c r="IF19" i="5"/>
  <c r="IE19" i="5"/>
  <c r="IC19" i="5"/>
  <c r="IB19" i="5"/>
  <c r="IA19" i="5"/>
  <c r="HZ19" i="5"/>
  <c r="M18" i="18" s="1"/>
  <c r="HY19" i="5"/>
  <c r="HX19" i="5"/>
  <c r="HW19" i="5"/>
  <c r="HV19" i="5"/>
  <c r="HU19" i="5"/>
  <c r="HT19" i="5"/>
  <c r="HS19" i="5"/>
  <c r="HR19" i="5"/>
  <c r="HQ19" i="5"/>
  <c r="HP19" i="5"/>
  <c r="HO19" i="5"/>
  <c r="HN19" i="5"/>
  <c r="HM19" i="5"/>
  <c r="HL19" i="5"/>
  <c r="HK19" i="5"/>
  <c r="HJ19" i="5"/>
  <c r="HI19" i="5"/>
  <c r="HH19" i="5"/>
  <c r="HG19" i="5"/>
  <c r="HE19" i="5"/>
  <c r="HD19" i="5"/>
  <c r="HC19" i="5"/>
  <c r="HB19" i="5"/>
  <c r="HA19" i="5"/>
  <c r="GZ19" i="5"/>
  <c r="GY19" i="5"/>
  <c r="GX19" i="5"/>
  <c r="GW19" i="5"/>
  <c r="GV19" i="5"/>
  <c r="GU19" i="5"/>
  <c r="GT19" i="5"/>
  <c r="GS19" i="5"/>
  <c r="GR19" i="5"/>
  <c r="GQ19" i="5"/>
  <c r="GP19" i="5"/>
  <c r="GO19" i="5"/>
  <c r="GN19" i="5"/>
  <c r="GM19" i="5"/>
  <c r="GL19" i="5"/>
  <c r="GK19" i="5"/>
  <c r="GJ19" i="5"/>
  <c r="GI19" i="5"/>
  <c r="GG19" i="5"/>
  <c r="GF19" i="5"/>
  <c r="GE19" i="5"/>
  <c r="GD19" i="5"/>
  <c r="GC19" i="5"/>
  <c r="GB19" i="5"/>
  <c r="GA19" i="5"/>
  <c r="FZ19" i="5"/>
  <c r="FY19" i="5"/>
  <c r="FX19" i="5"/>
  <c r="FW19" i="5"/>
  <c r="FV19" i="5"/>
  <c r="FU19" i="5"/>
  <c r="FT19" i="5"/>
  <c r="FS19" i="5"/>
  <c r="FR19" i="5"/>
  <c r="FQ19" i="5"/>
  <c r="FP19" i="5"/>
  <c r="FO19" i="5"/>
  <c r="FN19" i="5"/>
  <c r="FM19" i="5"/>
  <c r="FL19" i="5"/>
  <c r="FK19" i="5"/>
  <c r="FI19" i="5"/>
  <c r="FH19" i="5"/>
  <c r="FG19" i="5"/>
  <c r="FF19" i="5"/>
  <c r="FE19" i="5"/>
  <c r="FD19" i="5"/>
  <c r="FC19" i="5"/>
  <c r="FB19" i="5"/>
  <c r="FA19" i="5"/>
  <c r="EZ19" i="5"/>
  <c r="EY19" i="5"/>
  <c r="EX19" i="5"/>
  <c r="EW19" i="5"/>
  <c r="EV19" i="5"/>
  <c r="EU19" i="5"/>
  <c r="ET19" i="5"/>
  <c r="ES19" i="5"/>
  <c r="ER19" i="5"/>
  <c r="EQ19" i="5"/>
  <c r="EP19" i="5"/>
  <c r="EO19" i="5"/>
  <c r="EN19" i="5"/>
  <c r="EM19" i="5"/>
  <c r="EK19" i="5"/>
  <c r="EJ19" i="5"/>
  <c r="EI19" i="5"/>
  <c r="EH19" i="5"/>
  <c r="I18" i="18" s="1"/>
  <c r="EG19" i="5"/>
  <c r="EF19" i="5"/>
  <c r="EE19" i="5"/>
  <c r="ED19" i="5"/>
  <c r="EC19" i="5"/>
  <c r="EB19" i="5"/>
  <c r="EA19" i="5"/>
  <c r="DZ19" i="5"/>
  <c r="DY19" i="5"/>
  <c r="DX19" i="5"/>
  <c r="DW19" i="5"/>
  <c r="DV19" i="5"/>
  <c r="DU19" i="5"/>
  <c r="DT19" i="5"/>
  <c r="DS19" i="5"/>
  <c r="DR19" i="5"/>
  <c r="DQ19" i="5"/>
  <c r="DP19" i="5"/>
  <c r="DO19" i="5"/>
  <c r="DM19" i="5"/>
  <c r="DL19" i="5"/>
  <c r="DK19" i="5"/>
  <c r="DJ19" i="5"/>
  <c r="H18" i="18" s="1"/>
  <c r="DI19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R19" i="5"/>
  <c r="CP19" i="5"/>
  <c r="CO19" i="5"/>
  <c r="CN19" i="5"/>
  <c r="CM19" i="5"/>
  <c r="CL19" i="5"/>
  <c r="CK19" i="5"/>
  <c r="CJ19" i="5"/>
  <c r="CI19" i="5"/>
  <c r="CH19" i="5"/>
  <c r="CG19" i="5"/>
  <c r="CF19" i="5"/>
  <c r="CE19" i="5"/>
  <c r="CD19" i="5"/>
  <c r="CC19" i="5"/>
  <c r="CB19" i="5"/>
  <c r="CA19" i="5"/>
  <c r="BZ19" i="5"/>
  <c r="BY19" i="5"/>
  <c r="BX19" i="5"/>
  <c r="BW19" i="5"/>
  <c r="BV19" i="5"/>
  <c r="BU19" i="5"/>
  <c r="BT19" i="5"/>
  <c r="BS19" i="5"/>
  <c r="BQ19" i="5"/>
  <c r="BP19" i="5"/>
  <c r="BO19" i="5"/>
  <c r="BN19" i="5"/>
  <c r="BM19" i="5"/>
  <c r="BL19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U19" i="5"/>
  <c r="T19" i="5"/>
  <c r="S19" i="5"/>
  <c r="R19" i="5"/>
  <c r="D18" i="18" s="1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KD17" i="5"/>
  <c r="KC17" i="5"/>
  <c r="KB17" i="5"/>
  <c r="KA17" i="5"/>
  <c r="JY17" i="5"/>
  <c r="JX17" i="5"/>
  <c r="JW17" i="5"/>
  <c r="JV17" i="5"/>
  <c r="JU17" i="5"/>
  <c r="JT17" i="5"/>
  <c r="JS17" i="5"/>
  <c r="JR17" i="5"/>
  <c r="JQ17" i="5"/>
  <c r="JP17" i="5"/>
  <c r="JO17" i="5"/>
  <c r="JN17" i="5"/>
  <c r="JM17" i="5"/>
  <c r="JL17" i="5"/>
  <c r="JK17" i="5"/>
  <c r="JJ17" i="5"/>
  <c r="JI17" i="5"/>
  <c r="JH17" i="5"/>
  <c r="JG17" i="5"/>
  <c r="JF17" i="5"/>
  <c r="JE17" i="5"/>
  <c r="JD17" i="5"/>
  <c r="JC17" i="5"/>
  <c r="JA17" i="5"/>
  <c r="IZ17" i="5"/>
  <c r="IY17" i="5"/>
  <c r="IX17" i="5"/>
  <c r="IW17" i="5"/>
  <c r="IV17" i="5"/>
  <c r="IU17" i="5"/>
  <c r="IT17" i="5"/>
  <c r="IS17" i="5"/>
  <c r="IR17" i="5"/>
  <c r="IQ17" i="5"/>
  <c r="IP17" i="5"/>
  <c r="IO17" i="5"/>
  <c r="IN17" i="5"/>
  <c r="IM17" i="5"/>
  <c r="IL17" i="5"/>
  <c r="IK17" i="5"/>
  <c r="IJ17" i="5"/>
  <c r="II17" i="5"/>
  <c r="IH17" i="5"/>
  <c r="IG17" i="5"/>
  <c r="IF17" i="5"/>
  <c r="IE17" i="5"/>
  <c r="IC17" i="5"/>
  <c r="IB17" i="5"/>
  <c r="IA17" i="5"/>
  <c r="HZ17" i="5"/>
  <c r="HY17" i="5"/>
  <c r="HX17" i="5"/>
  <c r="HW17" i="5"/>
  <c r="HV17" i="5"/>
  <c r="HU17" i="5"/>
  <c r="HT17" i="5"/>
  <c r="HS17" i="5"/>
  <c r="HR17" i="5"/>
  <c r="HQ17" i="5"/>
  <c r="HP17" i="5"/>
  <c r="HO17" i="5"/>
  <c r="HN17" i="5"/>
  <c r="HM17" i="5"/>
  <c r="HL17" i="5"/>
  <c r="HK17" i="5"/>
  <c r="HJ17" i="5"/>
  <c r="HI17" i="5"/>
  <c r="HH17" i="5"/>
  <c r="HG17" i="5"/>
  <c r="HE17" i="5"/>
  <c r="HD17" i="5"/>
  <c r="HC17" i="5"/>
  <c r="HB17" i="5"/>
  <c r="HA17" i="5"/>
  <c r="GZ17" i="5"/>
  <c r="GY17" i="5"/>
  <c r="GX17" i="5"/>
  <c r="GW17" i="5"/>
  <c r="GV17" i="5"/>
  <c r="GU17" i="5"/>
  <c r="GT17" i="5"/>
  <c r="GS17" i="5"/>
  <c r="GR17" i="5"/>
  <c r="GQ17" i="5"/>
  <c r="GP17" i="5"/>
  <c r="GO17" i="5"/>
  <c r="GN17" i="5"/>
  <c r="GM17" i="5"/>
  <c r="GL17" i="5"/>
  <c r="GK17" i="5"/>
  <c r="GJ17" i="5"/>
  <c r="GI17" i="5"/>
  <c r="GG17" i="5"/>
  <c r="GF17" i="5"/>
  <c r="GE17" i="5"/>
  <c r="GD17" i="5"/>
  <c r="GC17" i="5"/>
  <c r="GB17" i="5"/>
  <c r="GA17" i="5"/>
  <c r="FZ17" i="5"/>
  <c r="FY17" i="5"/>
  <c r="FX17" i="5"/>
  <c r="FW17" i="5"/>
  <c r="FV17" i="5"/>
  <c r="FU17" i="5"/>
  <c r="FT17" i="5"/>
  <c r="FS17" i="5"/>
  <c r="FR17" i="5"/>
  <c r="FQ17" i="5"/>
  <c r="FP17" i="5"/>
  <c r="FO17" i="5"/>
  <c r="FN17" i="5"/>
  <c r="FM17" i="5"/>
  <c r="FL17" i="5"/>
  <c r="FK17" i="5"/>
  <c r="FI17" i="5"/>
  <c r="FH17" i="5"/>
  <c r="FG17" i="5"/>
  <c r="FF17" i="5"/>
  <c r="FE17" i="5"/>
  <c r="FD17" i="5"/>
  <c r="FC17" i="5"/>
  <c r="FB17" i="5"/>
  <c r="FA17" i="5"/>
  <c r="EZ17" i="5"/>
  <c r="EY17" i="5"/>
  <c r="EX17" i="5"/>
  <c r="EW17" i="5"/>
  <c r="EV17" i="5"/>
  <c r="EU17" i="5"/>
  <c r="ET17" i="5"/>
  <c r="ES17" i="5"/>
  <c r="ER17" i="5"/>
  <c r="EQ17" i="5"/>
  <c r="EP17" i="5"/>
  <c r="EO17" i="5"/>
  <c r="EN17" i="5"/>
  <c r="EM17" i="5"/>
  <c r="EK17" i="5"/>
  <c r="EJ17" i="5"/>
  <c r="EI17" i="5"/>
  <c r="EH17" i="5"/>
  <c r="EG17" i="5"/>
  <c r="EF17" i="5"/>
  <c r="EE17" i="5"/>
  <c r="ED17" i="5"/>
  <c r="EC17" i="5"/>
  <c r="EB17" i="5"/>
  <c r="EA17" i="5"/>
  <c r="DZ17" i="5"/>
  <c r="DY17" i="5"/>
  <c r="DX17" i="5"/>
  <c r="DW17" i="5"/>
  <c r="DV17" i="5"/>
  <c r="DU17" i="5"/>
  <c r="DT17" i="5"/>
  <c r="DS17" i="5"/>
  <c r="DR17" i="5"/>
  <c r="DQ17" i="5"/>
  <c r="DP17" i="5"/>
  <c r="DO17" i="5"/>
  <c r="DM17" i="5"/>
  <c r="DL17" i="5"/>
  <c r="DK17" i="5"/>
  <c r="DJ17" i="5"/>
  <c r="DI17" i="5"/>
  <c r="DH17" i="5"/>
  <c r="DG17" i="5"/>
  <c r="DF17" i="5"/>
  <c r="DE17" i="5"/>
  <c r="DD17" i="5"/>
  <c r="DC17" i="5"/>
  <c r="DB17" i="5"/>
  <c r="DA17" i="5"/>
  <c r="CZ17" i="5"/>
  <c r="CY17" i="5"/>
  <c r="CX17" i="5"/>
  <c r="CW17" i="5"/>
  <c r="CV17" i="5"/>
  <c r="CU17" i="5"/>
  <c r="CT17" i="5"/>
  <c r="CS17" i="5"/>
  <c r="CR17" i="5"/>
  <c r="CP17" i="5"/>
  <c r="CO17" i="5"/>
  <c r="CN17" i="5"/>
  <c r="CM17" i="5"/>
  <c r="CL17" i="5"/>
  <c r="CK17" i="5"/>
  <c r="CJ17" i="5"/>
  <c r="CI17" i="5"/>
  <c r="CH17" i="5"/>
  <c r="CG17" i="5"/>
  <c r="CF17" i="5"/>
  <c r="CE17" i="5"/>
  <c r="CD17" i="5"/>
  <c r="CC17" i="5"/>
  <c r="CB17" i="5"/>
  <c r="CA17" i="5"/>
  <c r="BZ17" i="5"/>
  <c r="BY17" i="5"/>
  <c r="BX17" i="5"/>
  <c r="BW17" i="5"/>
  <c r="BV17" i="5"/>
  <c r="BU17" i="5"/>
  <c r="BT17" i="5"/>
  <c r="BS17" i="5"/>
  <c r="BQ17" i="5"/>
  <c r="BP17" i="5"/>
  <c r="BO17" i="5"/>
  <c r="BN17" i="5"/>
  <c r="BM17" i="5"/>
  <c r="BL17" i="5"/>
  <c r="BK17" i="5"/>
  <c r="BJ17" i="5"/>
  <c r="BI17" i="5"/>
  <c r="BH17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S17" i="5"/>
  <c r="AR17" i="5"/>
  <c r="AQ17" i="5"/>
  <c r="AP17" i="5"/>
  <c r="E16" i="18" s="1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KD15" i="5"/>
  <c r="KC15" i="5"/>
  <c r="KB15" i="5"/>
  <c r="KA15" i="5"/>
  <c r="JY15" i="5"/>
  <c r="JX15" i="5"/>
  <c r="JW15" i="5"/>
  <c r="JV15" i="5"/>
  <c r="JU15" i="5"/>
  <c r="JT15" i="5"/>
  <c r="JS15" i="5"/>
  <c r="JR15" i="5"/>
  <c r="JQ15" i="5"/>
  <c r="JP15" i="5"/>
  <c r="JO15" i="5"/>
  <c r="JN15" i="5"/>
  <c r="JM15" i="5"/>
  <c r="JL15" i="5"/>
  <c r="JK15" i="5"/>
  <c r="JJ15" i="5"/>
  <c r="JI15" i="5"/>
  <c r="JH15" i="5"/>
  <c r="JG15" i="5"/>
  <c r="JF15" i="5"/>
  <c r="JE15" i="5"/>
  <c r="JD15" i="5"/>
  <c r="JC15" i="5"/>
  <c r="JA15" i="5"/>
  <c r="IZ15" i="5"/>
  <c r="IY15" i="5"/>
  <c r="IX15" i="5"/>
  <c r="IW15" i="5"/>
  <c r="IV15" i="5"/>
  <c r="IU15" i="5"/>
  <c r="IT15" i="5"/>
  <c r="IS15" i="5"/>
  <c r="IR15" i="5"/>
  <c r="IQ15" i="5"/>
  <c r="IP15" i="5"/>
  <c r="IO15" i="5"/>
  <c r="IN15" i="5"/>
  <c r="IM15" i="5"/>
  <c r="IL15" i="5"/>
  <c r="IK15" i="5"/>
  <c r="IJ15" i="5"/>
  <c r="II15" i="5"/>
  <c r="IH15" i="5"/>
  <c r="IG15" i="5"/>
  <c r="IF15" i="5"/>
  <c r="IE15" i="5"/>
  <c r="IC15" i="5"/>
  <c r="IB15" i="5"/>
  <c r="IA15" i="5"/>
  <c r="HZ15" i="5"/>
  <c r="HY15" i="5"/>
  <c r="HX15" i="5"/>
  <c r="HW15" i="5"/>
  <c r="HV15" i="5"/>
  <c r="HU15" i="5"/>
  <c r="HT15" i="5"/>
  <c r="HS15" i="5"/>
  <c r="HR15" i="5"/>
  <c r="HQ15" i="5"/>
  <c r="HP15" i="5"/>
  <c r="HO15" i="5"/>
  <c r="HN15" i="5"/>
  <c r="HM15" i="5"/>
  <c r="HL15" i="5"/>
  <c r="HK15" i="5"/>
  <c r="HJ15" i="5"/>
  <c r="HI15" i="5"/>
  <c r="HH15" i="5"/>
  <c r="HG15" i="5"/>
  <c r="HE15" i="5"/>
  <c r="HD15" i="5"/>
  <c r="HC15" i="5"/>
  <c r="HB15" i="5"/>
  <c r="HA15" i="5"/>
  <c r="GZ15" i="5"/>
  <c r="GY15" i="5"/>
  <c r="GX15" i="5"/>
  <c r="GW15" i="5"/>
  <c r="GV15" i="5"/>
  <c r="GU15" i="5"/>
  <c r="GT15" i="5"/>
  <c r="GS15" i="5"/>
  <c r="GR15" i="5"/>
  <c r="GQ15" i="5"/>
  <c r="GP15" i="5"/>
  <c r="GO15" i="5"/>
  <c r="GN15" i="5"/>
  <c r="GM15" i="5"/>
  <c r="GL15" i="5"/>
  <c r="GK15" i="5"/>
  <c r="GJ15" i="5"/>
  <c r="GI15" i="5"/>
  <c r="GG15" i="5"/>
  <c r="GF15" i="5"/>
  <c r="GE15" i="5"/>
  <c r="GD15" i="5"/>
  <c r="K14" i="18" s="1"/>
  <c r="GC15" i="5"/>
  <c r="GB15" i="5"/>
  <c r="GA15" i="5"/>
  <c r="FZ15" i="5"/>
  <c r="FY15" i="5"/>
  <c r="FX15" i="5"/>
  <c r="FW15" i="5"/>
  <c r="FV15" i="5"/>
  <c r="FU15" i="5"/>
  <c r="FT15" i="5"/>
  <c r="FS15" i="5"/>
  <c r="FR15" i="5"/>
  <c r="FQ15" i="5"/>
  <c r="FP15" i="5"/>
  <c r="FO15" i="5"/>
  <c r="FN15" i="5"/>
  <c r="FM15" i="5"/>
  <c r="FL15" i="5"/>
  <c r="FK15" i="5"/>
  <c r="FI15" i="5"/>
  <c r="FH15" i="5"/>
  <c r="FG15" i="5"/>
  <c r="FF15" i="5"/>
  <c r="J14" i="18" s="1"/>
  <c r="FE15" i="5"/>
  <c r="FD15" i="5"/>
  <c r="FC15" i="5"/>
  <c r="FB15" i="5"/>
  <c r="FA15" i="5"/>
  <c r="EZ15" i="5"/>
  <c r="EY15" i="5"/>
  <c r="EX15" i="5"/>
  <c r="EW15" i="5"/>
  <c r="EV15" i="5"/>
  <c r="EU15" i="5"/>
  <c r="ET15" i="5"/>
  <c r="ES15" i="5"/>
  <c r="ER15" i="5"/>
  <c r="EQ15" i="5"/>
  <c r="EP15" i="5"/>
  <c r="EO15" i="5"/>
  <c r="EN15" i="5"/>
  <c r="EM15" i="5"/>
  <c r="EK15" i="5"/>
  <c r="EJ15" i="5"/>
  <c r="EI15" i="5"/>
  <c r="EH15" i="5"/>
  <c r="I14" i="18" s="1"/>
  <c r="EG15" i="5"/>
  <c r="EF15" i="5"/>
  <c r="EE15" i="5"/>
  <c r="ED15" i="5"/>
  <c r="EC15" i="5"/>
  <c r="EB15" i="5"/>
  <c r="EA15" i="5"/>
  <c r="DZ15" i="5"/>
  <c r="DY15" i="5"/>
  <c r="DX15" i="5"/>
  <c r="DW15" i="5"/>
  <c r="DV15" i="5"/>
  <c r="DU15" i="5"/>
  <c r="DT15" i="5"/>
  <c r="DS15" i="5"/>
  <c r="DR15" i="5"/>
  <c r="DQ15" i="5"/>
  <c r="DP15" i="5"/>
  <c r="DO15" i="5"/>
  <c r="DM15" i="5"/>
  <c r="DL15" i="5"/>
  <c r="DK15" i="5"/>
  <c r="DJ15" i="5"/>
  <c r="H14" i="18" s="1"/>
  <c r="DI15" i="5"/>
  <c r="DH15" i="5"/>
  <c r="DG15" i="5"/>
  <c r="DF15" i="5"/>
  <c r="DE15" i="5"/>
  <c r="DD15" i="5"/>
  <c r="DC15" i="5"/>
  <c r="DB15" i="5"/>
  <c r="DA15" i="5"/>
  <c r="CZ15" i="5"/>
  <c r="CY15" i="5"/>
  <c r="CX15" i="5"/>
  <c r="CW15" i="5"/>
  <c r="CV15" i="5"/>
  <c r="CU15" i="5"/>
  <c r="CT15" i="5"/>
  <c r="CS15" i="5"/>
  <c r="CR15" i="5"/>
  <c r="CP15" i="5"/>
  <c r="CO15" i="5"/>
  <c r="CN15" i="5"/>
  <c r="CM15" i="5"/>
  <c r="CL15" i="5"/>
  <c r="G14" i="18" s="1"/>
  <c r="CK15" i="5"/>
  <c r="CJ15" i="5"/>
  <c r="CI15" i="5"/>
  <c r="CH15" i="5"/>
  <c r="CG15" i="5"/>
  <c r="CF15" i="5"/>
  <c r="CE15" i="5"/>
  <c r="CD15" i="5"/>
  <c r="CC15" i="5"/>
  <c r="CB15" i="5"/>
  <c r="CA15" i="5"/>
  <c r="BZ15" i="5"/>
  <c r="BY15" i="5"/>
  <c r="BX15" i="5"/>
  <c r="BW15" i="5"/>
  <c r="BV15" i="5"/>
  <c r="BU15" i="5"/>
  <c r="BT15" i="5"/>
  <c r="BS15" i="5"/>
  <c r="BQ15" i="5"/>
  <c r="BP15" i="5"/>
  <c r="BO15" i="5"/>
  <c r="BN15" i="5"/>
  <c r="BM15" i="5"/>
  <c r="BL15" i="5"/>
  <c r="BK15" i="5"/>
  <c r="BJ15" i="5"/>
  <c r="BI15" i="5"/>
  <c r="BH15" i="5"/>
  <c r="BG15" i="5"/>
  <c r="BF15" i="5"/>
  <c r="BE15" i="5"/>
  <c r="BD15" i="5"/>
  <c r="BC15" i="5"/>
  <c r="BB15" i="5"/>
  <c r="BA15" i="5"/>
  <c r="AZ15" i="5"/>
  <c r="AY15" i="5"/>
  <c r="AX15" i="5"/>
  <c r="AW15" i="5"/>
  <c r="AV15" i="5"/>
  <c r="AU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HY13" i="5"/>
  <c r="HX13" i="5"/>
  <c r="HW13" i="5"/>
  <c r="HV13" i="5"/>
  <c r="HU13" i="5"/>
  <c r="HT13" i="5"/>
  <c r="HS13" i="5"/>
  <c r="HR13" i="5"/>
  <c r="HQ13" i="5"/>
  <c r="HP13" i="5"/>
  <c r="HO13" i="5"/>
  <c r="HN13" i="5"/>
  <c r="HM13" i="5"/>
  <c r="HL13" i="5"/>
  <c r="HK13" i="5"/>
  <c r="GC13" i="5"/>
  <c r="GB13" i="5"/>
  <c r="GA13" i="5"/>
  <c r="FZ13" i="5"/>
  <c r="FY13" i="5"/>
  <c r="FX13" i="5"/>
  <c r="FW13" i="5"/>
  <c r="FV13" i="5"/>
  <c r="FU13" i="5"/>
  <c r="FT13" i="5"/>
  <c r="FS13" i="5"/>
  <c r="FR13" i="5"/>
  <c r="FQ13" i="5"/>
  <c r="FP13" i="5"/>
  <c r="FO13" i="5"/>
  <c r="EG13" i="5"/>
  <c r="EF13" i="5"/>
  <c r="EE13" i="5"/>
  <c r="ED13" i="5"/>
  <c r="EC13" i="5"/>
  <c r="EB13" i="5"/>
  <c r="EA13" i="5"/>
  <c r="DZ13" i="5"/>
  <c r="DY13" i="5"/>
  <c r="DX13" i="5"/>
  <c r="DW13" i="5"/>
  <c r="DV13" i="5"/>
  <c r="DU13" i="5"/>
  <c r="DT13" i="5"/>
  <c r="DS13" i="5"/>
  <c r="KD11" i="5"/>
  <c r="KC11" i="5"/>
  <c r="KB11" i="5"/>
  <c r="KA11" i="5"/>
  <c r="JZ11" i="5"/>
  <c r="JY11" i="5"/>
  <c r="JX11" i="5"/>
  <c r="JW11" i="5"/>
  <c r="JV11" i="5"/>
  <c r="O10" i="18" s="1"/>
  <c r="JU11" i="5"/>
  <c r="JT11" i="5"/>
  <c r="JS11" i="5"/>
  <c r="JR11" i="5"/>
  <c r="JQ11" i="5"/>
  <c r="JP11" i="5"/>
  <c r="JO11" i="5"/>
  <c r="JN11" i="5"/>
  <c r="JM11" i="5"/>
  <c r="JL11" i="5"/>
  <c r="JK11" i="5"/>
  <c r="JJ11" i="5"/>
  <c r="JI11" i="5"/>
  <c r="JH11" i="5"/>
  <c r="JG11" i="5"/>
  <c r="JF11" i="5"/>
  <c r="JE11" i="5"/>
  <c r="JD11" i="5"/>
  <c r="JC11" i="5"/>
  <c r="JB11" i="5"/>
  <c r="JA11" i="5"/>
  <c r="IZ11" i="5"/>
  <c r="IY11" i="5"/>
  <c r="IX11" i="5"/>
  <c r="IW11" i="5"/>
  <c r="IV11" i="5"/>
  <c r="IU11" i="5"/>
  <c r="IT11" i="5"/>
  <c r="IS11" i="5"/>
  <c r="IR11" i="5"/>
  <c r="IQ11" i="5"/>
  <c r="IP11" i="5"/>
  <c r="IO11" i="5"/>
  <c r="IN11" i="5"/>
  <c r="IM11" i="5"/>
  <c r="IL11" i="5"/>
  <c r="IK11" i="5"/>
  <c r="IJ11" i="5"/>
  <c r="II11" i="5"/>
  <c r="IH11" i="5"/>
  <c r="IG11" i="5"/>
  <c r="IF11" i="5"/>
  <c r="IE11" i="5"/>
  <c r="ID11" i="5"/>
  <c r="IC11" i="5"/>
  <c r="IB11" i="5"/>
  <c r="IA11" i="5"/>
  <c r="HZ11" i="5"/>
  <c r="HY11" i="5"/>
  <c r="HX11" i="5"/>
  <c r="HW11" i="5"/>
  <c r="HV11" i="5"/>
  <c r="HU11" i="5"/>
  <c r="HT11" i="5"/>
  <c r="HS11" i="5"/>
  <c r="HR11" i="5"/>
  <c r="HQ11" i="5"/>
  <c r="HP11" i="5"/>
  <c r="HO11" i="5"/>
  <c r="HN11" i="5"/>
  <c r="HM11" i="5"/>
  <c r="HL11" i="5"/>
  <c r="HK11" i="5"/>
  <c r="HJ11" i="5"/>
  <c r="HI11" i="5"/>
  <c r="HH11" i="5"/>
  <c r="HG11" i="5"/>
  <c r="HF11" i="5"/>
  <c r="HE11" i="5"/>
  <c r="HD11" i="5"/>
  <c r="HC11" i="5"/>
  <c r="HB11" i="5"/>
  <c r="L10" i="18" s="1"/>
  <c r="HA11" i="5"/>
  <c r="GZ11" i="5"/>
  <c r="GY11" i="5"/>
  <c r="GX11" i="5"/>
  <c r="GW11" i="5"/>
  <c r="GV11" i="5"/>
  <c r="GU11" i="5"/>
  <c r="GT11" i="5"/>
  <c r="GS11" i="5"/>
  <c r="GR11" i="5"/>
  <c r="GQ11" i="5"/>
  <c r="GP11" i="5"/>
  <c r="GO11" i="5"/>
  <c r="GN11" i="5"/>
  <c r="GM11" i="5"/>
  <c r="GL11" i="5"/>
  <c r="GK11" i="5"/>
  <c r="GJ11" i="5"/>
  <c r="GI11" i="5"/>
  <c r="GH11" i="5"/>
  <c r="GG11" i="5"/>
  <c r="GF11" i="5"/>
  <c r="GE11" i="5"/>
  <c r="GD11" i="5"/>
  <c r="K10" i="18" s="1"/>
  <c r="GC11" i="5"/>
  <c r="GB11" i="5"/>
  <c r="GA11" i="5"/>
  <c r="FZ11" i="5"/>
  <c r="FY11" i="5"/>
  <c r="FX11" i="5"/>
  <c r="FW11" i="5"/>
  <c r="FV11" i="5"/>
  <c r="FU11" i="5"/>
  <c r="FT11" i="5"/>
  <c r="FS11" i="5"/>
  <c r="FR11" i="5"/>
  <c r="FQ11" i="5"/>
  <c r="FP11" i="5"/>
  <c r="FO11" i="5"/>
  <c r="FN11" i="5"/>
  <c r="FM11" i="5"/>
  <c r="FL11" i="5"/>
  <c r="FK11" i="5"/>
  <c r="FJ11" i="5"/>
  <c r="FI11" i="5"/>
  <c r="FH11" i="5"/>
  <c r="FG11" i="5"/>
  <c r="FF11" i="5"/>
  <c r="FE11" i="5"/>
  <c r="FD11" i="5"/>
  <c r="FC11" i="5"/>
  <c r="FB11" i="5"/>
  <c r="FA11" i="5"/>
  <c r="EZ11" i="5"/>
  <c r="EY11" i="5"/>
  <c r="EX11" i="5"/>
  <c r="EW11" i="5"/>
  <c r="EV11" i="5"/>
  <c r="EU11" i="5"/>
  <c r="ET11" i="5"/>
  <c r="ES11" i="5"/>
  <c r="ER11" i="5"/>
  <c r="EQ11" i="5"/>
  <c r="EP11" i="5"/>
  <c r="EO11" i="5"/>
  <c r="EN11" i="5"/>
  <c r="EM11" i="5"/>
  <c r="EK11" i="5"/>
  <c r="EJ11" i="5"/>
  <c r="EI11" i="5"/>
  <c r="EH11" i="5"/>
  <c r="EG11" i="5"/>
  <c r="EF11" i="5"/>
  <c r="EE11" i="5"/>
  <c r="ED11" i="5"/>
  <c r="EC11" i="5"/>
  <c r="EB11" i="5"/>
  <c r="EA11" i="5"/>
  <c r="DZ11" i="5"/>
  <c r="DY11" i="5"/>
  <c r="DX11" i="5"/>
  <c r="DW11" i="5"/>
  <c r="DV11" i="5"/>
  <c r="DU11" i="5"/>
  <c r="DT11" i="5"/>
  <c r="DS11" i="5"/>
  <c r="DR11" i="5"/>
  <c r="DQ11" i="5"/>
  <c r="DP11" i="5"/>
  <c r="DO11" i="5"/>
  <c r="DN11" i="5"/>
  <c r="DM11" i="5"/>
  <c r="DL11" i="5"/>
  <c r="DK11" i="5"/>
  <c r="DJ11" i="5"/>
  <c r="DI11" i="5"/>
  <c r="DH11" i="5"/>
  <c r="DG11" i="5"/>
  <c r="DF11" i="5"/>
  <c r="DE11" i="5"/>
  <c r="DD11" i="5"/>
  <c r="DC11" i="5"/>
  <c r="DB11" i="5"/>
  <c r="DA11" i="5"/>
  <c r="CZ11" i="5"/>
  <c r="CY11" i="5"/>
  <c r="CX11" i="5"/>
  <c r="CW11" i="5"/>
  <c r="CV11" i="5"/>
  <c r="CU11" i="5"/>
  <c r="CT11" i="5"/>
  <c r="CS11" i="5"/>
  <c r="CR11" i="5"/>
  <c r="CQ11" i="5"/>
  <c r="CP11" i="5"/>
  <c r="CO11" i="5"/>
  <c r="CN11" i="5"/>
  <c r="CM11" i="5"/>
  <c r="CL11" i="5"/>
  <c r="CK11" i="5"/>
  <c r="CJ11" i="5"/>
  <c r="CI11" i="5"/>
  <c r="CH11" i="5"/>
  <c r="CG11" i="5"/>
  <c r="CF11" i="5"/>
  <c r="CE11" i="5"/>
  <c r="CD11" i="5"/>
  <c r="CC11" i="5"/>
  <c r="CB11" i="5"/>
  <c r="CA11" i="5"/>
  <c r="BZ11" i="5"/>
  <c r="BY11" i="5"/>
  <c r="BX11" i="5"/>
  <c r="BW11" i="5"/>
  <c r="BV11" i="5"/>
  <c r="BU11" i="5"/>
  <c r="BT11" i="5"/>
  <c r="BS11" i="5"/>
  <c r="BR11" i="5"/>
  <c r="BQ11" i="5"/>
  <c r="BP11" i="5"/>
  <c r="BO11" i="5"/>
  <c r="BN11" i="5"/>
  <c r="BM11" i="5"/>
  <c r="BL11" i="5"/>
  <c r="BK11" i="5"/>
  <c r="BJ11" i="5"/>
  <c r="BI11" i="5"/>
  <c r="BH11" i="5"/>
  <c r="BG11" i="5"/>
  <c r="BF11" i="5"/>
  <c r="BE11" i="5"/>
  <c r="BD11" i="5"/>
  <c r="BC11" i="5"/>
  <c r="BB11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KD9" i="5"/>
  <c r="KC9" i="5"/>
  <c r="KB9" i="5"/>
  <c r="KA9" i="5"/>
  <c r="JY9" i="5"/>
  <c r="JX9" i="5"/>
  <c r="JW9" i="5"/>
  <c r="JV9" i="5"/>
  <c r="JU9" i="5"/>
  <c r="JT9" i="5"/>
  <c r="JS9" i="5"/>
  <c r="JR9" i="5"/>
  <c r="JQ9" i="5"/>
  <c r="JP9" i="5"/>
  <c r="JO9" i="5"/>
  <c r="JN9" i="5"/>
  <c r="JM9" i="5"/>
  <c r="JL9" i="5"/>
  <c r="JK9" i="5"/>
  <c r="JJ9" i="5"/>
  <c r="JI9" i="5"/>
  <c r="JH9" i="5"/>
  <c r="JG9" i="5"/>
  <c r="JF9" i="5"/>
  <c r="JE9" i="5"/>
  <c r="JD9" i="5"/>
  <c r="JC9" i="5"/>
  <c r="JB9" i="5"/>
  <c r="JA9" i="5"/>
  <c r="IZ9" i="5"/>
  <c r="IY9" i="5"/>
  <c r="IX9" i="5"/>
  <c r="IW9" i="5"/>
  <c r="IV9" i="5"/>
  <c r="IU9" i="5"/>
  <c r="IT9" i="5"/>
  <c r="IS9" i="5"/>
  <c r="IR9" i="5"/>
  <c r="IQ9" i="5"/>
  <c r="IP9" i="5"/>
  <c r="IO9" i="5"/>
  <c r="IN9" i="5"/>
  <c r="IM9" i="5"/>
  <c r="IL9" i="5"/>
  <c r="IK9" i="5"/>
  <c r="IJ9" i="5"/>
  <c r="II9" i="5"/>
  <c r="IH9" i="5"/>
  <c r="IG9" i="5"/>
  <c r="IF9" i="5"/>
  <c r="IE9" i="5"/>
  <c r="IC9" i="5"/>
  <c r="IB9" i="5"/>
  <c r="IA9" i="5"/>
  <c r="HZ9" i="5"/>
  <c r="HY9" i="5"/>
  <c r="HX9" i="5"/>
  <c r="HW9" i="5"/>
  <c r="HV9" i="5"/>
  <c r="HU9" i="5"/>
  <c r="HT9" i="5"/>
  <c r="HS9" i="5"/>
  <c r="HR9" i="5"/>
  <c r="HQ9" i="5"/>
  <c r="HP9" i="5"/>
  <c r="HO9" i="5"/>
  <c r="HN9" i="5"/>
  <c r="HM9" i="5"/>
  <c r="HL9" i="5"/>
  <c r="HK9" i="5"/>
  <c r="HJ9" i="5"/>
  <c r="HI9" i="5"/>
  <c r="HH9" i="5"/>
  <c r="HG9" i="5"/>
  <c r="HF9" i="5"/>
  <c r="HE9" i="5"/>
  <c r="HD9" i="5"/>
  <c r="HC9" i="5"/>
  <c r="HB9" i="5"/>
  <c r="HA9" i="5"/>
  <c r="GZ9" i="5"/>
  <c r="GY9" i="5"/>
  <c r="GX9" i="5"/>
  <c r="GW9" i="5"/>
  <c r="GV9" i="5"/>
  <c r="GU9" i="5"/>
  <c r="GT9" i="5"/>
  <c r="GS9" i="5"/>
  <c r="GR9" i="5"/>
  <c r="GQ9" i="5"/>
  <c r="GP9" i="5"/>
  <c r="GO9" i="5"/>
  <c r="GN9" i="5"/>
  <c r="GM9" i="5"/>
  <c r="GL9" i="5"/>
  <c r="GK9" i="5"/>
  <c r="GJ9" i="5"/>
  <c r="GI9" i="5"/>
  <c r="GG9" i="5"/>
  <c r="GF9" i="5"/>
  <c r="GE9" i="5"/>
  <c r="GD9" i="5"/>
  <c r="GC9" i="5"/>
  <c r="GB9" i="5"/>
  <c r="GA9" i="5"/>
  <c r="FZ9" i="5"/>
  <c r="FY9" i="5"/>
  <c r="FX9" i="5"/>
  <c r="FW9" i="5"/>
  <c r="FV9" i="5"/>
  <c r="FU9" i="5"/>
  <c r="FT9" i="5"/>
  <c r="FS9" i="5"/>
  <c r="FR9" i="5"/>
  <c r="FQ9" i="5"/>
  <c r="FP9" i="5"/>
  <c r="FO9" i="5"/>
  <c r="FN9" i="5"/>
  <c r="FM9" i="5"/>
  <c r="FL9" i="5"/>
  <c r="FK9" i="5"/>
  <c r="FJ9" i="5"/>
  <c r="FI9" i="5"/>
  <c r="FH9" i="5"/>
  <c r="FG9" i="5"/>
  <c r="FF9" i="5"/>
  <c r="J8" i="18" s="1"/>
  <c r="FE9" i="5"/>
  <c r="FD9" i="5"/>
  <c r="FC9" i="5"/>
  <c r="FB9" i="5"/>
  <c r="FA9" i="5"/>
  <c r="EZ9" i="5"/>
  <c r="EY9" i="5"/>
  <c r="EX9" i="5"/>
  <c r="EW9" i="5"/>
  <c r="EV9" i="5"/>
  <c r="EU9" i="5"/>
  <c r="ET9" i="5"/>
  <c r="ES9" i="5"/>
  <c r="ER9" i="5"/>
  <c r="EQ9" i="5"/>
  <c r="EP9" i="5"/>
  <c r="EO9" i="5"/>
  <c r="EN9" i="5"/>
  <c r="EM9" i="5"/>
  <c r="EK9" i="5"/>
  <c r="EJ9" i="5"/>
  <c r="EI9" i="5"/>
  <c r="EH9" i="5"/>
  <c r="EG9" i="5"/>
  <c r="EF9" i="5"/>
  <c r="EE9" i="5"/>
  <c r="ED9" i="5"/>
  <c r="EC9" i="5"/>
  <c r="EB9" i="5"/>
  <c r="EA9" i="5"/>
  <c r="DZ9" i="5"/>
  <c r="DY9" i="5"/>
  <c r="DX9" i="5"/>
  <c r="DW9" i="5"/>
  <c r="DV9" i="5"/>
  <c r="DU9" i="5"/>
  <c r="DT9" i="5"/>
  <c r="DS9" i="5"/>
  <c r="DR9" i="5"/>
  <c r="DQ9" i="5"/>
  <c r="DP9" i="5"/>
  <c r="DO9" i="5"/>
  <c r="DM9" i="5"/>
  <c r="DL9" i="5"/>
  <c r="DK9" i="5"/>
  <c r="DJ9" i="5"/>
  <c r="DI9" i="5"/>
  <c r="DH9" i="5"/>
  <c r="DG9" i="5"/>
  <c r="DF9" i="5"/>
  <c r="DE9" i="5"/>
  <c r="DD9" i="5"/>
  <c r="DC9" i="5"/>
  <c r="DB9" i="5"/>
  <c r="DA9" i="5"/>
  <c r="CZ9" i="5"/>
  <c r="CY9" i="5"/>
  <c r="CX9" i="5"/>
  <c r="CW9" i="5"/>
  <c r="CV9" i="5"/>
  <c r="CU9" i="5"/>
  <c r="CT9" i="5"/>
  <c r="CS9" i="5"/>
  <c r="CR9" i="5"/>
  <c r="CQ9" i="5"/>
  <c r="CP9" i="5"/>
  <c r="CO9" i="5"/>
  <c r="CN9" i="5"/>
  <c r="CM9" i="5"/>
  <c r="CL9" i="5"/>
  <c r="CK9" i="5"/>
  <c r="CJ9" i="5"/>
  <c r="CI9" i="5"/>
  <c r="CH9" i="5"/>
  <c r="CG9" i="5"/>
  <c r="CF9" i="5"/>
  <c r="CE9" i="5"/>
  <c r="CD9" i="5"/>
  <c r="CC9" i="5"/>
  <c r="CB9" i="5"/>
  <c r="CA9" i="5"/>
  <c r="BZ9" i="5"/>
  <c r="BY9" i="5"/>
  <c r="BX9" i="5"/>
  <c r="BW9" i="5"/>
  <c r="BV9" i="5"/>
  <c r="BU9" i="5"/>
  <c r="BT9" i="5"/>
  <c r="BS9" i="5"/>
  <c r="BQ9" i="5"/>
  <c r="BP9" i="5"/>
  <c r="BO9" i="5"/>
  <c r="BN9" i="5"/>
  <c r="F8" i="18" s="1"/>
  <c r="BM9" i="5"/>
  <c r="BL9" i="5"/>
  <c r="BK9" i="5"/>
  <c r="BJ9" i="5"/>
  <c r="BI9" i="5"/>
  <c r="BH9" i="5"/>
  <c r="BG9" i="5"/>
  <c r="BF9" i="5"/>
  <c r="BE9" i="5"/>
  <c r="BD9" i="5"/>
  <c r="BC9" i="5"/>
  <c r="BB9" i="5"/>
  <c r="BA9" i="5"/>
  <c r="AZ9" i="5"/>
  <c r="AY9" i="5"/>
  <c r="AX9" i="5"/>
  <c r="AW9" i="5"/>
  <c r="AV9" i="5"/>
  <c r="AU9" i="5"/>
  <c r="AT9" i="5"/>
  <c r="AS9" i="5"/>
  <c r="AR9" i="5"/>
  <c r="AQ9" i="5"/>
  <c r="AP9" i="5"/>
  <c r="E8" i="18" s="1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U9" i="5"/>
  <c r="T9" i="5"/>
  <c r="S9" i="5"/>
  <c r="R9" i="5"/>
  <c r="D8" i="18" s="1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KD7" i="5"/>
  <c r="KC7" i="5"/>
  <c r="KB7" i="5"/>
  <c r="KA7" i="5"/>
  <c r="JY7" i="5"/>
  <c r="JX7" i="5"/>
  <c r="JW7" i="5"/>
  <c r="JV7" i="5"/>
  <c r="JU7" i="5"/>
  <c r="JT7" i="5"/>
  <c r="JS7" i="5"/>
  <c r="JR7" i="5"/>
  <c r="JQ7" i="5"/>
  <c r="JP7" i="5"/>
  <c r="JO7" i="5"/>
  <c r="JN7" i="5"/>
  <c r="JM7" i="5"/>
  <c r="JL7" i="5"/>
  <c r="JK7" i="5"/>
  <c r="JJ7" i="5"/>
  <c r="JI7" i="5"/>
  <c r="JH7" i="5"/>
  <c r="JG7" i="5"/>
  <c r="JF7" i="5"/>
  <c r="JE7" i="5"/>
  <c r="JD7" i="5"/>
  <c r="JC7" i="5"/>
  <c r="JB7" i="5"/>
  <c r="JA7" i="5"/>
  <c r="IZ7" i="5"/>
  <c r="IY7" i="5"/>
  <c r="IX7" i="5"/>
  <c r="IW7" i="5"/>
  <c r="IV7" i="5"/>
  <c r="IU7" i="5"/>
  <c r="IT7" i="5"/>
  <c r="IS7" i="5"/>
  <c r="IR7" i="5"/>
  <c r="IQ7" i="5"/>
  <c r="IP7" i="5"/>
  <c r="IO7" i="5"/>
  <c r="IN7" i="5"/>
  <c r="IM7" i="5"/>
  <c r="IL7" i="5"/>
  <c r="IK7" i="5"/>
  <c r="IJ7" i="5"/>
  <c r="II7" i="5"/>
  <c r="IH7" i="5"/>
  <c r="IG7" i="5"/>
  <c r="IF7" i="5"/>
  <c r="IE7" i="5"/>
  <c r="IC7" i="5"/>
  <c r="IB7" i="5"/>
  <c r="IA7" i="5"/>
  <c r="HZ7" i="5"/>
  <c r="M6" i="18" s="1"/>
  <c r="HY7" i="5"/>
  <c r="HX7" i="5"/>
  <c r="HW7" i="5"/>
  <c r="HV7" i="5"/>
  <c r="HU7" i="5"/>
  <c r="HT7" i="5"/>
  <c r="HS7" i="5"/>
  <c r="HR7" i="5"/>
  <c r="HQ7" i="5"/>
  <c r="HP7" i="5"/>
  <c r="HO7" i="5"/>
  <c r="HN7" i="5"/>
  <c r="HM7" i="5"/>
  <c r="HL7" i="5"/>
  <c r="HK7" i="5"/>
  <c r="HJ7" i="5"/>
  <c r="HI7" i="5"/>
  <c r="HH7" i="5"/>
  <c r="HG7" i="5"/>
  <c r="HE7" i="5"/>
  <c r="HD7" i="5"/>
  <c r="HC7" i="5"/>
  <c r="HB7" i="5"/>
  <c r="L6" i="18" s="1"/>
  <c r="HA7" i="5"/>
  <c r="GZ7" i="5"/>
  <c r="GY7" i="5"/>
  <c r="GX7" i="5"/>
  <c r="GW7" i="5"/>
  <c r="GV7" i="5"/>
  <c r="GU7" i="5"/>
  <c r="GT7" i="5"/>
  <c r="GS7" i="5"/>
  <c r="GR7" i="5"/>
  <c r="GQ7" i="5"/>
  <c r="GP7" i="5"/>
  <c r="GO7" i="5"/>
  <c r="GN7" i="5"/>
  <c r="GM7" i="5"/>
  <c r="GL7" i="5"/>
  <c r="GK7" i="5"/>
  <c r="GJ7" i="5"/>
  <c r="GI7" i="5"/>
  <c r="GH7" i="5"/>
  <c r="GG7" i="5"/>
  <c r="GF7" i="5"/>
  <c r="GE7" i="5"/>
  <c r="GD7" i="5"/>
  <c r="K6" i="18" s="1"/>
  <c r="GC7" i="5"/>
  <c r="GB7" i="5"/>
  <c r="GA7" i="5"/>
  <c r="FZ7" i="5"/>
  <c r="FY7" i="5"/>
  <c r="FX7" i="5"/>
  <c r="FV7" i="5"/>
  <c r="FU7" i="5"/>
  <c r="FT7" i="5"/>
  <c r="FS7" i="5"/>
  <c r="FR7" i="5"/>
  <c r="FQ7" i="5"/>
  <c r="FP7" i="5"/>
  <c r="FO7" i="5"/>
  <c r="FN7" i="5"/>
  <c r="FM7" i="5"/>
  <c r="FL7" i="5"/>
  <c r="FK7" i="5"/>
  <c r="FI7" i="5"/>
  <c r="FH7" i="5"/>
  <c r="FG7" i="5"/>
  <c r="FF7" i="5"/>
  <c r="FE7" i="5"/>
  <c r="FD7" i="5"/>
  <c r="FC7" i="5"/>
  <c r="FB7" i="5"/>
  <c r="FA7" i="5"/>
  <c r="EZ7" i="5"/>
  <c r="EY7" i="5"/>
  <c r="EX7" i="5"/>
  <c r="EW7" i="5"/>
  <c r="EV7" i="5"/>
  <c r="EU7" i="5"/>
  <c r="ET7" i="5"/>
  <c r="ES7" i="5"/>
  <c r="ER7" i="5"/>
  <c r="EQ7" i="5"/>
  <c r="EP7" i="5"/>
  <c r="EO7" i="5"/>
  <c r="EN7" i="5"/>
  <c r="EM7" i="5"/>
  <c r="EL7" i="5"/>
  <c r="EK7" i="5"/>
  <c r="EJ7" i="5"/>
  <c r="EI7" i="5"/>
  <c r="EH7" i="5"/>
  <c r="EG7" i="5"/>
  <c r="EF7" i="5"/>
  <c r="EE7" i="5"/>
  <c r="ED7" i="5"/>
  <c r="EC7" i="5"/>
  <c r="EA7" i="5"/>
  <c r="DY7" i="5"/>
  <c r="DX7" i="5"/>
  <c r="DV7" i="5"/>
  <c r="DU7" i="5"/>
  <c r="DT7" i="5"/>
  <c r="DS7" i="5"/>
  <c r="DR7" i="5"/>
  <c r="DQ7" i="5"/>
  <c r="DP7" i="5"/>
  <c r="DO7" i="5"/>
  <c r="DM7" i="5"/>
  <c r="DL7" i="5"/>
  <c r="DK7" i="5"/>
  <c r="DJ7" i="5"/>
  <c r="DI7" i="5"/>
  <c r="DH7" i="5"/>
  <c r="DG7" i="5"/>
  <c r="DF7" i="5"/>
  <c r="DE7" i="5"/>
  <c r="DD7" i="5"/>
  <c r="DC7" i="5"/>
  <c r="DA7" i="5"/>
  <c r="CZ7" i="5"/>
  <c r="CY7" i="5"/>
  <c r="CX7" i="5"/>
  <c r="CW7" i="5"/>
  <c r="CV7" i="5"/>
  <c r="CU7" i="5"/>
  <c r="CN7" i="5"/>
  <c r="CM7" i="5"/>
  <c r="CL7" i="5"/>
  <c r="CK7" i="5"/>
  <c r="CJ7" i="5"/>
  <c r="CI7" i="5"/>
  <c r="CH7" i="5"/>
  <c r="CG7" i="5"/>
  <c r="CF7" i="5"/>
  <c r="CE7" i="5"/>
  <c r="CD7" i="5"/>
  <c r="CC7" i="5"/>
  <c r="CB7" i="5"/>
  <c r="CA7" i="5"/>
  <c r="BZ7" i="5"/>
  <c r="BY7" i="5"/>
  <c r="BX7" i="5"/>
  <c r="BW7" i="5"/>
  <c r="BV7" i="5"/>
  <c r="BU7" i="5"/>
  <c r="BT7" i="5"/>
  <c r="BS7" i="5"/>
  <c r="BQ7" i="5"/>
  <c r="BP7" i="5"/>
  <c r="BO7" i="5"/>
  <c r="BN7" i="5"/>
  <c r="BM7" i="5"/>
  <c r="BL7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U7" i="5"/>
  <c r="T7" i="5"/>
  <c r="S7" i="5"/>
  <c r="R7" i="5"/>
  <c r="D6" i="18" s="1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KD5" i="5"/>
  <c r="KC5" i="5"/>
  <c r="KB5" i="5"/>
  <c r="KA5" i="5"/>
  <c r="JY5" i="5"/>
  <c r="JX5" i="5"/>
  <c r="JW5" i="5"/>
  <c r="JV5" i="5"/>
  <c r="JU5" i="5"/>
  <c r="JT5" i="5"/>
  <c r="JS5" i="5"/>
  <c r="JR5" i="5"/>
  <c r="JQ5" i="5"/>
  <c r="JP5" i="5"/>
  <c r="JO5" i="5"/>
  <c r="JN5" i="5"/>
  <c r="JM5" i="5"/>
  <c r="JL5" i="5"/>
  <c r="JK5" i="5"/>
  <c r="JJ5" i="5"/>
  <c r="JI5" i="5"/>
  <c r="JH5" i="5"/>
  <c r="JG5" i="5"/>
  <c r="JF5" i="5"/>
  <c r="JE5" i="5"/>
  <c r="JD5" i="5"/>
  <c r="JC5" i="5"/>
  <c r="JA5" i="5"/>
  <c r="IZ5" i="5"/>
  <c r="IY5" i="5"/>
  <c r="IX5" i="5"/>
  <c r="IW5" i="5"/>
  <c r="IV5" i="5"/>
  <c r="IU5" i="5"/>
  <c r="IT5" i="5"/>
  <c r="IS5" i="5"/>
  <c r="IR5" i="5"/>
  <c r="IQ5" i="5"/>
  <c r="IP5" i="5"/>
  <c r="IO5" i="5"/>
  <c r="IN5" i="5"/>
  <c r="IM5" i="5"/>
  <c r="IL5" i="5"/>
  <c r="IK5" i="5"/>
  <c r="IJ5" i="5"/>
  <c r="II5" i="5"/>
  <c r="IH5" i="5"/>
  <c r="IG5" i="5"/>
  <c r="IF5" i="5"/>
  <c r="IE5" i="5"/>
  <c r="IC5" i="5"/>
  <c r="IB5" i="5"/>
  <c r="IA5" i="5"/>
  <c r="HZ5" i="5"/>
  <c r="M4" i="18" s="1"/>
  <c r="HY5" i="5"/>
  <c r="HX5" i="5"/>
  <c r="HW5" i="5"/>
  <c r="HV5" i="5"/>
  <c r="HU5" i="5"/>
  <c r="HT5" i="5"/>
  <c r="HS5" i="5"/>
  <c r="HR5" i="5"/>
  <c r="HQ5" i="5"/>
  <c r="HP5" i="5"/>
  <c r="HO5" i="5"/>
  <c r="HN5" i="5"/>
  <c r="HM5" i="5"/>
  <c r="HL5" i="5"/>
  <c r="HK5" i="5"/>
  <c r="HJ5" i="5"/>
  <c r="HI5" i="5"/>
  <c r="HH5" i="5"/>
  <c r="HG5" i="5"/>
  <c r="HE5" i="5"/>
  <c r="HD5" i="5"/>
  <c r="HC5" i="5"/>
  <c r="HB5" i="5"/>
  <c r="HA5" i="5"/>
  <c r="GZ5" i="5"/>
  <c r="GY5" i="5"/>
  <c r="GX5" i="5"/>
  <c r="GW5" i="5"/>
  <c r="GV5" i="5"/>
  <c r="GU5" i="5"/>
  <c r="GT5" i="5"/>
  <c r="GS5" i="5"/>
  <c r="GR5" i="5"/>
  <c r="GQ5" i="5"/>
  <c r="GP5" i="5"/>
  <c r="GO5" i="5"/>
  <c r="GN5" i="5"/>
  <c r="GM5" i="5"/>
  <c r="GL5" i="5"/>
  <c r="GK5" i="5"/>
  <c r="GJ5" i="5"/>
  <c r="GI5" i="5"/>
  <c r="GG5" i="5"/>
  <c r="GF5" i="5"/>
  <c r="GE5" i="5"/>
  <c r="GD5" i="5"/>
  <c r="GC5" i="5"/>
  <c r="GB5" i="5"/>
  <c r="GA5" i="5"/>
  <c r="FZ5" i="5"/>
  <c r="FY5" i="5"/>
  <c r="FX5" i="5"/>
  <c r="FW5" i="5"/>
  <c r="FV5" i="5"/>
  <c r="FU5" i="5"/>
  <c r="FT5" i="5"/>
  <c r="FS5" i="5"/>
  <c r="FR5" i="5"/>
  <c r="FQ5" i="5"/>
  <c r="FP5" i="5"/>
  <c r="FO5" i="5"/>
  <c r="FN5" i="5"/>
  <c r="FM5" i="5"/>
  <c r="FL5" i="5"/>
  <c r="FK5" i="5"/>
  <c r="FI5" i="5"/>
  <c r="FH5" i="5"/>
  <c r="FG5" i="5"/>
  <c r="FF5" i="5"/>
  <c r="J4" i="18" s="1"/>
  <c r="FE5" i="5"/>
  <c r="FD5" i="5"/>
  <c r="FC5" i="5"/>
  <c r="FB5" i="5"/>
  <c r="FA5" i="5"/>
  <c r="EZ5" i="5"/>
  <c r="EY5" i="5"/>
  <c r="EX5" i="5"/>
  <c r="EW5" i="5"/>
  <c r="EV5" i="5"/>
  <c r="EU5" i="5"/>
  <c r="ET5" i="5"/>
  <c r="ES5" i="5"/>
  <c r="ER5" i="5"/>
  <c r="EQ5" i="5"/>
  <c r="EP5" i="5"/>
  <c r="EO5" i="5"/>
  <c r="EN5" i="5"/>
  <c r="EM5" i="5"/>
  <c r="EK5" i="5"/>
  <c r="EJ5" i="5"/>
  <c r="EI5" i="5"/>
  <c r="EH5" i="5"/>
  <c r="I4" i="18" s="1"/>
  <c r="EG5" i="5"/>
  <c r="EF5" i="5"/>
  <c r="EE5" i="5"/>
  <c r="ED5" i="5"/>
  <c r="EC5" i="5"/>
  <c r="EB5" i="5"/>
  <c r="EA5" i="5"/>
  <c r="DZ5" i="5"/>
  <c r="DY5" i="5"/>
  <c r="DX5" i="5"/>
  <c r="DW5" i="5"/>
  <c r="DV5" i="5"/>
  <c r="DU5" i="5"/>
  <c r="DT5" i="5"/>
  <c r="DS5" i="5"/>
  <c r="DR5" i="5"/>
  <c r="DQ5" i="5"/>
  <c r="DP5" i="5"/>
  <c r="DO5" i="5"/>
  <c r="DM5" i="5"/>
  <c r="DL5" i="5"/>
  <c r="DK5" i="5"/>
  <c r="DJ5" i="5"/>
  <c r="DI5" i="5"/>
  <c r="DH5" i="5"/>
  <c r="DG5" i="5"/>
  <c r="DF5" i="5"/>
  <c r="DE5" i="5"/>
  <c r="DD5" i="5"/>
  <c r="DC5" i="5"/>
  <c r="DB5" i="5"/>
  <c r="DA5" i="5"/>
  <c r="CZ5" i="5"/>
  <c r="CY5" i="5"/>
  <c r="CX5" i="5"/>
  <c r="CW5" i="5"/>
  <c r="CV5" i="5"/>
  <c r="CU5" i="5"/>
  <c r="CT5" i="5"/>
  <c r="CS5" i="5"/>
  <c r="CR5" i="5"/>
  <c r="CP5" i="5"/>
  <c r="CO5" i="5"/>
  <c r="CN5" i="5"/>
  <c r="CM5" i="5"/>
  <c r="CL5" i="5"/>
  <c r="CK5" i="5"/>
  <c r="CJ5" i="5"/>
  <c r="CI5" i="5"/>
  <c r="CH5" i="5"/>
  <c r="CG5" i="5"/>
  <c r="CF5" i="5"/>
  <c r="CE5" i="5"/>
  <c r="CD5" i="5"/>
  <c r="CC5" i="5"/>
  <c r="CB5" i="5"/>
  <c r="CA5" i="5"/>
  <c r="BZ5" i="5"/>
  <c r="BY5" i="5"/>
  <c r="BX5" i="5"/>
  <c r="BW5" i="5"/>
  <c r="BV5" i="5"/>
  <c r="BU5" i="5"/>
  <c r="BT5" i="5"/>
  <c r="BS5" i="5"/>
  <c r="BQ5" i="5"/>
  <c r="BP5" i="5"/>
  <c r="BO5" i="5"/>
  <c r="BN5" i="5"/>
  <c r="BM5" i="5"/>
  <c r="BL5" i="5"/>
  <c r="BK5" i="5"/>
  <c r="BJ5" i="5"/>
  <c r="BI5" i="5"/>
  <c r="BH5" i="5"/>
  <c r="BG5" i="5"/>
  <c r="BF5" i="5"/>
  <c r="BE5" i="5"/>
  <c r="BD5" i="5"/>
  <c r="BC5" i="5"/>
  <c r="BB5" i="5"/>
  <c r="BA5" i="5"/>
  <c r="AZ5" i="5"/>
  <c r="AY5" i="5"/>
  <c r="AS5" i="5"/>
  <c r="AR5" i="5"/>
  <c r="AQ5" i="5"/>
  <c r="AP5" i="5"/>
  <c r="E4" i="18" s="1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G6" i="18" l="1"/>
  <c r="J10" i="18"/>
  <c r="N10" i="18"/>
  <c r="M16" i="18"/>
  <c r="F26" i="3"/>
  <c r="L14" i="18"/>
  <c r="K18" i="18"/>
  <c r="G24" i="18"/>
  <c r="J28" i="18"/>
  <c r="N30" i="18"/>
  <c r="D38" i="18"/>
  <c r="N6" i="18"/>
  <c r="G10" i="18"/>
  <c r="N62" i="3"/>
  <c r="L36" i="18"/>
  <c r="H40" i="18"/>
  <c r="F6" i="18"/>
  <c r="I10" i="18"/>
  <c r="N18" i="18"/>
  <c r="D4" i="18"/>
  <c r="O8" i="18"/>
  <c r="O14" i="18"/>
  <c r="G18" i="18"/>
  <c r="E32" i="18"/>
  <c r="G38" i="18"/>
  <c r="L16" i="18"/>
  <c r="J24" i="18"/>
  <c r="M28" i="18"/>
  <c r="O22" i="18"/>
  <c r="F28" i="18"/>
  <c r="J30" i="18"/>
  <c r="I38" i="18"/>
  <c r="O34" i="18"/>
  <c r="F16" i="18"/>
  <c r="I22" i="18"/>
  <c r="D30" i="18"/>
  <c r="J32" i="18"/>
  <c r="I34" i="18"/>
  <c r="F36" i="18"/>
  <c r="E10" i="18"/>
  <c r="F34" i="18"/>
  <c r="L4" i="18"/>
  <c r="G8" i="18"/>
  <c r="O16" i="18"/>
  <c r="J18" i="18"/>
  <c r="F24" i="18"/>
  <c r="I28" i="18"/>
  <c r="M30" i="18"/>
  <c r="O36" i="18"/>
  <c r="F58" i="3"/>
  <c r="N40" i="18"/>
  <c r="I6" i="18"/>
  <c r="L40" i="18"/>
  <c r="N36" i="6"/>
  <c r="G16" i="18"/>
  <c r="E30" i="18"/>
  <c r="K32" i="18"/>
  <c r="J34" i="18"/>
  <c r="G36" i="18"/>
  <c r="M38" i="18"/>
  <c r="M42" i="6"/>
  <c r="H8" i="18"/>
  <c r="F35" i="6"/>
  <c r="G33" i="6"/>
  <c r="F13" i="3"/>
  <c r="D28" i="3"/>
  <c r="N32" i="3"/>
  <c r="I82" i="3"/>
  <c r="D16" i="3"/>
  <c r="D15" i="3"/>
  <c r="M8" i="18"/>
  <c r="F14" i="18"/>
  <c r="J16" i="18"/>
  <c r="D22" i="3"/>
  <c r="M22" i="18"/>
  <c r="O21" i="3"/>
  <c r="D28" i="18"/>
  <c r="O52" i="6"/>
  <c r="H30" i="18"/>
  <c r="G4" i="18"/>
  <c r="E18" i="3"/>
  <c r="R70" i="3"/>
  <c r="I22" i="3"/>
  <c r="L36" i="6"/>
  <c r="L39" i="6"/>
  <c r="N9" i="3"/>
  <c r="F40" i="18"/>
  <c r="N32" i="18"/>
  <c r="G59" i="6"/>
  <c r="D34" i="18"/>
  <c r="M34" i="18"/>
  <c r="E37" i="3"/>
  <c r="J89" i="3"/>
  <c r="O36" i="6"/>
  <c r="H3" i="3"/>
  <c r="I4" i="3"/>
  <c r="N4" i="18"/>
  <c r="O3" i="3"/>
  <c r="D6" i="3"/>
  <c r="H6" i="3"/>
  <c r="I6" i="3"/>
  <c r="M6" i="3"/>
  <c r="E7" i="3"/>
  <c r="F7" i="3"/>
  <c r="K8" i="18"/>
  <c r="L7" i="3"/>
  <c r="M7" i="3"/>
  <c r="I9" i="3"/>
  <c r="J9" i="3"/>
  <c r="E13" i="3"/>
  <c r="M14" i="18"/>
  <c r="O14" i="3"/>
  <c r="E16" i="3"/>
  <c r="G16" i="3"/>
  <c r="I15" i="3"/>
  <c r="M15" i="3"/>
  <c r="D17" i="3"/>
  <c r="E18" i="18"/>
  <c r="L18" i="18"/>
  <c r="M18" i="3"/>
  <c r="O18" i="3"/>
  <c r="E20" i="3"/>
  <c r="D22" i="18"/>
  <c r="J22" i="3"/>
  <c r="E24" i="3"/>
  <c r="H23" i="3"/>
  <c r="H24" i="18"/>
  <c r="L23" i="3"/>
  <c r="E26" i="3"/>
  <c r="G26" i="3"/>
  <c r="H26" i="3"/>
  <c r="K28" i="18"/>
  <c r="O27" i="3"/>
  <c r="G29" i="3"/>
  <c r="K29" i="3"/>
  <c r="L29" i="3"/>
  <c r="O29" i="3"/>
  <c r="O30" i="18"/>
  <c r="E31" i="3"/>
  <c r="I31" i="3"/>
  <c r="K34" i="3"/>
  <c r="M33" i="3"/>
  <c r="O33" i="3"/>
  <c r="I35" i="3"/>
  <c r="J35" i="3"/>
  <c r="N36" i="3"/>
  <c r="E38" i="18"/>
  <c r="H37" i="3"/>
  <c r="I37" i="3"/>
  <c r="J38" i="3"/>
  <c r="K38" i="3"/>
  <c r="O38" i="3"/>
  <c r="D40" i="18"/>
  <c r="E39" i="3"/>
  <c r="H39" i="3"/>
  <c r="K39" i="6"/>
  <c r="J6" i="18"/>
  <c r="I8" i="18"/>
  <c r="D14" i="18"/>
  <c r="H16" i="18"/>
  <c r="K22" i="18"/>
  <c r="O24" i="18"/>
  <c r="F30" i="18"/>
  <c r="L32" i="18"/>
  <c r="K34" i="18"/>
  <c r="N54" i="6"/>
  <c r="H36" i="18"/>
  <c r="N38" i="18"/>
  <c r="M39" i="3"/>
  <c r="G28" i="18"/>
  <c r="K30" i="18"/>
  <c r="M36" i="18"/>
  <c r="F43" i="6"/>
  <c r="H6" i="18"/>
  <c r="D10" i="18"/>
  <c r="F10" i="18"/>
  <c r="H10" i="18"/>
  <c r="K15" i="3"/>
  <c r="O18" i="18"/>
  <c r="G22" i="18"/>
  <c r="G26" i="18"/>
  <c r="N28" i="18"/>
  <c r="N58" i="6"/>
  <c r="G40" i="18"/>
  <c r="E40" i="18"/>
  <c r="H32" i="18"/>
  <c r="G34" i="6"/>
  <c r="E6" i="18"/>
  <c r="O6" i="18"/>
  <c r="D16" i="18"/>
  <c r="I21" i="3"/>
  <c r="M24" i="3"/>
  <c r="F25" i="3"/>
  <c r="F32" i="18"/>
  <c r="D36" i="18"/>
  <c r="K36" i="3"/>
  <c r="H38" i="18"/>
  <c r="J38" i="18"/>
  <c r="I40" i="18"/>
  <c r="K40" i="3"/>
  <c r="H4" i="18"/>
  <c r="N8" i="18"/>
  <c r="K16" i="18"/>
  <c r="N22" i="18"/>
  <c r="E28" i="18"/>
  <c r="E34" i="18"/>
  <c r="N34" i="18"/>
  <c r="O4" i="18"/>
  <c r="L8" i="18"/>
  <c r="N14" i="18"/>
  <c r="F18" i="18"/>
  <c r="E22" i="18"/>
  <c r="I24" i="18"/>
  <c r="L28" i="18"/>
  <c r="F38" i="18"/>
  <c r="F4" i="18"/>
  <c r="E14" i="18"/>
  <c r="I16" i="18"/>
  <c r="L22" i="18"/>
  <c r="M32" i="18"/>
  <c r="D37" i="3"/>
  <c r="O38" i="18"/>
  <c r="L41" i="6"/>
  <c r="K4" i="18"/>
  <c r="N16" i="18"/>
  <c r="H28" i="18"/>
  <c r="L30" i="18"/>
  <c r="N36" i="18"/>
  <c r="M10" i="18"/>
  <c r="H22" i="18"/>
  <c r="H26" i="18"/>
  <c r="G32" i="18"/>
  <c r="I32" i="18"/>
  <c r="K38" i="18"/>
  <c r="E59" i="3"/>
  <c r="E56" i="3"/>
  <c r="E69" i="3"/>
  <c r="Q54" i="3"/>
  <c r="Q86" i="3"/>
  <c r="Q59" i="3"/>
  <c r="E65" i="3"/>
  <c r="Q43" i="3"/>
  <c r="E51" i="3"/>
  <c r="Q62" i="3"/>
  <c r="E80" i="3"/>
  <c r="Q46" i="3"/>
  <c r="E64" i="3"/>
  <c r="Q45" i="3"/>
  <c r="O10" i="3"/>
  <c r="O9" i="3"/>
  <c r="D20" i="3"/>
  <c r="D19" i="3"/>
  <c r="O19" i="3"/>
  <c r="O20" i="3"/>
  <c r="R68" i="3"/>
  <c r="R79" i="3"/>
  <c r="R46" i="3"/>
  <c r="R86" i="3"/>
  <c r="R45" i="3"/>
  <c r="R50" i="3"/>
  <c r="R42" i="3"/>
  <c r="R84" i="3"/>
  <c r="R85" i="3"/>
  <c r="G78" i="3"/>
  <c r="H59" i="6"/>
  <c r="G66" i="3"/>
  <c r="I69" i="3"/>
  <c r="G60" i="3"/>
  <c r="G75" i="3"/>
  <c r="H48" i="6"/>
  <c r="H61" i="6" s="1"/>
  <c r="G86" i="3"/>
  <c r="G59" i="3"/>
  <c r="G67" i="3"/>
  <c r="I79" i="3"/>
  <c r="I58" i="3"/>
  <c r="N54" i="3"/>
  <c r="N42" i="3"/>
  <c r="N68" i="3"/>
  <c r="G8" i="3"/>
  <c r="G7" i="3"/>
  <c r="O15" i="3"/>
  <c r="O16" i="3"/>
  <c r="N19" i="3"/>
  <c r="N20" i="3"/>
  <c r="L25" i="3"/>
  <c r="L26" i="3"/>
  <c r="I27" i="3"/>
  <c r="I28" i="3"/>
  <c r="M30" i="3"/>
  <c r="M29" i="3"/>
  <c r="J54" i="6"/>
  <c r="J60" i="6"/>
  <c r="I48" i="6"/>
  <c r="I61" i="6" s="1"/>
  <c r="I52" i="6"/>
  <c r="K72" i="3"/>
  <c r="F78" i="3"/>
  <c r="I84" i="3"/>
  <c r="L32" i="3"/>
  <c r="L31" i="3"/>
  <c r="O42" i="3"/>
  <c r="O45" i="3"/>
  <c r="O56" i="3"/>
  <c r="N40" i="3"/>
  <c r="O64" i="3"/>
  <c r="O54" i="3"/>
  <c r="O62" i="3"/>
  <c r="L3" i="3"/>
  <c r="L4" i="3"/>
  <c r="K13" i="3"/>
  <c r="K14" i="3"/>
  <c r="F23" i="3"/>
  <c r="F24" i="3"/>
  <c r="N7" i="3"/>
  <c r="L10" i="3"/>
  <c r="I14" i="3"/>
  <c r="L20" i="3"/>
  <c r="G22" i="3"/>
  <c r="K24" i="3"/>
  <c r="N60" i="3"/>
  <c r="M36" i="3"/>
  <c r="K33" i="3"/>
  <c r="H34" i="6"/>
  <c r="G4" i="3"/>
  <c r="I7" i="3"/>
  <c r="I8" i="3"/>
  <c r="J68" i="3"/>
  <c r="J73" i="3"/>
  <c r="J44" i="3"/>
  <c r="J75" i="3"/>
  <c r="J47" i="3"/>
  <c r="J49" i="3"/>
  <c r="D39" i="3"/>
  <c r="K38" i="6"/>
  <c r="K5" i="3"/>
  <c r="L8" i="3"/>
  <c r="L14" i="3"/>
  <c r="D18" i="3"/>
  <c r="F17" i="3"/>
  <c r="K18" i="3"/>
  <c r="E25" i="3"/>
  <c r="J27" i="3"/>
  <c r="O32" i="3"/>
  <c r="K10" i="3"/>
  <c r="K9" i="3"/>
  <c r="D14" i="3"/>
  <c r="D13" i="3"/>
  <c r="H15" i="3"/>
  <c r="H16" i="3"/>
  <c r="I20" i="3"/>
  <c r="I19" i="3"/>
  <c r="M25" i="3"/>
  <c r="M26" i="3"/>
  <c r="L49" i="3"/>
  <c r="L42" i="3"/>
  <c r="L73" i="3"/>
  <c r="L58" i="3"/>
  <c r="L50" i="3"/>
  <c r="F30" i="3"/>
  <c r="F29" i="3"/>
  <c r="L33" i="3"/>
  <c r="L34" i="3"/>
  <c r="N37" i="3"/>
  <c r="N38" i="3"/>
  <c r="J4" i="3"/>
  <c r="E28" i="3"/>
  <c r="J31" i="3"/>
  <c r="I40" i="3"/>
  <c r="J52" i="6"/>
  <c r="E42" i="3"/>
  <c r="K50" i="3"/>
  <c r="F54" i="3"/>
  <c r="F75" i="3"/>
  <c r="F59" i="3"/>
  <c r="K84" i="3"/>
  <c r="F80" i="3"/>
  <c r="F42" i="3"/>
  <c r="F87" i="3"/>
  <c r="F51" i="3"/>
  <c r="K64" i="3"/>
  <c r="K68" i="3"/>
  <c r="F64" i="3"/>
  <c r="F79" i="3"/>
  <c r="O24" i="3"/>
  <c r="O23" i="3"/>
  <c r="P57" i="6"/>
  <c r="P49" i="6"/>
  <c r="P58" i="6"/>
  <c r="P50" i="6"/>
  <c r="P60" i="6"/>
  <c r="P52" i="6"/>
  <c r="P53" i="6"/>
  <c r="P54" i="6"/>
  <c r="P55" i="6"/>
  <c r="P51" i="6"/>
  <c r="P59" i="6"/>
  <c r="P48" i="6"/>
  <c r="P61" i="6" s="1"/>
  <c r="M54" i="3"/>
  <c r="P56" i="6"/>
  <c r="D32" i="3"/>
  <c r="M81" i="3"/>
  <c r="M60" i="3"/>
  <c r="H80" i="3"/>
  <c r="D31" i="3"/>
  <c r="H73" i="3"/>
  <c r="H47" i="3"/>
  <c r="M73" i="3"/>
  <c r="K60" i="6"/>
  <c r="H36" i="3"/>
  <c r="F48" i="6"/>
  <c r="F61" i="6" s="1"/>
  <c r="H35" i="3"/>
  <c r="J40" i="6"/>
  <c r="J43" i="6"/>
  <c r="J44" i="6"/>
  <c r="J33" i="6"/>
  <c r="J35" i="6"/>
  <c r="J37" i="6"/>
  <c r="J34" i="6"/>
  <c r="J39" i="6"/>
  <c r="J42" i="6"/>
  <c r="J36" i="6"/>
  <c r="J41" i="6"/>
  <c r="J38" i="6"/>
  <c r="J32" i="6"/>
  <c r="J17" i="3"/>
  <c r="J18" i="3"/>
  <c r="O5" i="3"/>
  <c r="H9" i="3"/>
  <c r="G13" i="3"/>
  <c r="K20" i="3"/>
  <c r="M20" i="3"/>
  <c r="D24" i="3"/>
  <c r="L77" i="3"/>
  <c r="D30" i="3"/>
  <c r="N45" i="3"/>
  <c r="I49" i="3"/>
  <c r="I39" i="6"/>
  <c r="I42" i="6"/>
  <c r="I43" i="6"/>
  <c r="I44" i="6"/>
  <c r="I32" i="6"/>
  <c r="I34" i="6"/>
  <c r="I36" i="6"/>
  <c r="I41" i="6"/>
  <c r="I37" i="6"/>
  <c r="I40" i="6"/>
  <c r="I35" i="6"/>
  <c r="I33" i="6"/>
  <c r="D3" i="3"/>
  <c r="I38" i="6"/>
  <c r="D4" i="3"/>
  <c r="J6" i="3"/>
  <c r="J5" i="3"/>
  <c r="K21" i="3"/>
  <c r="K22" i="3"/>
  <c r="P72" i="3"/>
  <c r="P43" i="3"/>
  <c r="P54" i="3"/>
  <c r="P62" i="3"/>
  <c r="P68" i="3"/>
  <c r="P50" i="3"/>
  <c r="P42" i="3"/>
  <c r="P84" i="3"/>
  <c r="P45" i="3"/>
  <c r="P53" i="3"/>
  <c r="F67" i="3"/>
  <c r="D9" i="3"/>
  <c r="K52" i="3"/>
  <c r="F5" i="3"/>
  <c r="N5" i="3"/>
  <c r="E77" i="3"/>
  <c r="O7" i="3"/>
  <c r="G9" i="3"/>
  <c r="H14" i="3"/>
  <c r="H22" i="3"/>
  <c r="L24" i="3"/>
  <c r="M27" i="3"/>
  <c r="F33" i="3"/>
  <c r="L35" i="3"/>
  <c r="H40" i="3"/>
  <c r="H53" i="3"/>
  <c r="E8" i="3"/>
  <c r="L41" i="3"/>
  <c r="K26" i="3"/>
  <c r="H32" i="3"/>
  <c r="M35" i="3"/>
  <c r="G25" i="3"/>
  <c r="G40" i="3"/>
  <c r="M23" i="3"/>
  <c r="H7" i="3"/>
  <c r="G15" i="3"/>
  <c r="F19" i="3"/>
  <c r="F20" i="3"/>
  <c r="J21" i="3"/>
  <c r="N24" i="3"/>
  <c r="N23" i="3"/>
  <c r="P51" i="3"/>
  <c r="P75" i="3"/>
  <c r="E29" i="3"/>
  <c r="E30" i="3"/>
  <c r="I54" i="6"/>
  <c r="I55" i="6"/>
  <c r="I57" i="6"/>
  <c r="I49" i="6"/>
  <c r="I58" i="6"/>
  <c r="I50" i="6"/>
  <c r="I60" i="6"/>
  <c r="I51" i="6"/>
  <c r="I56" i="6"/>
  <c r="M46" i="3"/>
  <c r="I53" i="6"/>
  <c r="M85" i="3"/>
  <c r="M76" i="3"/>
  <c r="M65" i="3"/>
  <c r="M57" i="3"/>
  <c r="H43" i="3"/>
  <c r="I59" i="6"/>
  <c r="M89" i="3"/>
  <c r="K32" i="3"/>
  <c r="J33" i="3"/>
  <c r="J34" i="3"/>
  <c r="G36" i="3"/>
  <c r="G35" i="3"/>
  <c r="F38" i="3"/>
  <c r="M37" i="3"/>
  <c r="M38" i="3"/>
  <c r="L39" i="3"/>
  <c r="L40" i="3"/>
  <c r="O44" i="3"/>
  <c r="O63" i="3"/>
  <c r="O78" i="3"/>
  <c r="O70" i="3"/>
  <c r="O50" i="3"/>
  <c r="O86" i="3"/>
  <c r="E17" i="3"/>
  <c r="K35" i="3"/>
  <c r="G44" i="3"/>
  <c r="O47" i="3"/>
  <c r="G51" i="3"/>
  <c r="F56" i="3"/>
  <c r="F65" i="3"/>
  <c r="L70" i="3"/>
  <c r="K75" i="3"/>
  <c r="Q81" i="3"/>
  <c r="H87" i="3"/>
  <c r="O35" i="3"/>
  <c r="O36" i="3"/>
  <c r="K43" i="6"/>
  <c r="L37" i="3"/>
  <c r="I13" i="3"/>
  <c r="E3" i="3"/>
  <c r="K23" i="3"/>
  <c r="H38" i="3"/>
  <c r="N44" i="6"/>
  <c r="N32" i="6"/>
  <c r="N33" i="6"/>
  <c r="N34" i="6"/>
  <c r="N37" i="6"/>
  <c r="N39" i="6"/>
  <c r="N35" i="6"/>
  <c r="N42" i="6"/>
  <c r="N38" i="6"/>
  <c r="N40" i="6"/>
  <c r="N43" i="6"/>
  <c r="N41" i="6"/>
  <c r="M5" i="3"/>
  <c r="J20" i="3"/>
  <c r="J19" i="3"/>
  <c r="D36" i="3"/>
  <c r="E21" i="3"/>
  <c r="L28" i="3"/>
  <c r="E40" i="3"/>
  <c r="K6" i="3"/>
  <c r="I16" i="3"/>
  <c r="H19" i="3"/>
  <c r="H4" i="3"/>
  <c r="G39" i="3"/>
  <c r="H53" i="6"/>
  <c r="K3" i="3"/>
  <c r="F8" i="3"/>
  <c r="J13" i="3"/>
  <c r="J14" i="3"/>
  <c r="N16" i="3"/>
  <c r="N15" i="3"/>
  <c r="I17" i="3"/>
  <c r="I18" i="3"/>
  <c r="E19" i="3"/>
  <c r="E23" i="3"/>
  <c r="H27" i="3"/>
  <c r="H28" i="3"/>
  <c r="L30" i="3"/>
  <c r="J53" i="6"/>
  <c r="J55" i="6"/>
  <c r="J56" i="6"/>
  <c r="J48" i="6"/>
  <c r="J61" i="6" s="1"/>
  <c r="J59" i="6"/>
  <c r="J51" i="6"/>
  <c r="J58" i="6"/>
  <c r="J49" i="6"/>
  <c r="J57" i="6"/>
  <c r="L55" i="6"/>
  <c r="N35" i="3"/>
  <c r="K4" i="3"/>
  <c r="D8" i="3"/>
  <c r="K31" i="3"/>
  <c r="H44" i="3"/>
  <c r="P47" i="3"/>
  <c r="G52" i="3"/>
  <c r="K56" i="3"/>
  <c r="P60" i="3"/>
  <c r="G65" i="3"/>
  <c r="M70" i="3"/>
  <c r="L75" i="3"/>
  <c r="F82" i="3"/>
  <c r="Q88" i="3"/>
  <c r="N88" i="3"/>
  <c r="N80" i="3"/>
  <c r="N72" i="3"/>
  <c r="N33" i="3"/>
  <c r="N89" i="3"/>
  <c r="N81" i="3"/>
  <c r="N73" i="3"/>
  <c r="N65" i="3"/>
  <c r="N57" i="3"/>
  <c r="N34" i="3"/>
  <c r="N86" i="3"/>
  <c r="N84" i="3"/>
  <c r="N74" i="3"/>
  <c r="N69" i="3"/>
  <c r="N47" i="3"/>
  <c r="N43" i="3"/>
  <c r="N79" i="3"/>
  <c r="N61" i="3"/>
  <c r="N58" i="3"/>
  <c r="N55" i="3"/>
  <c r="N52" i="3"/>
  <c r="N64" i="3"/>
  <c r="N48" i="3"/>
  <c r="N59" i="3"/>
  <c r="N53" i="3"/>
  <c r="N41" i="3"/>
  <c r="N85" i="3"/>
  <c r="N76" i="3"/>
  <c r="N67" i="3"/>
  <c r="N46" i="3"/>
  <c r="N78" i="3"/>
  <c r="N63" i="3"/>
  <c r="N51" i="3"/>
  <c r="N44" i="3"/>
  <c r="N49" i="3"/>
  <c r="N87" i="3"/>
  <c r="N82" i="3"/>
  <c r="N66" i="3"/>
  <c r="N70" i="3"/>
  <c r="N50" i="3"/>
  <c r="G19" i="3"/>
  <c r="G23" i="3"/>
  <c r="I5" i="3"/>
  <c r="M9" i="3"/>
  <c r="H25" i="3"/>
  <c r="G32" i="3"/>
  <c r="E36" i="3"/>
  <c r="K37" i="3"/>
  <c r="H8" i="3"/>
  <c r="K17" i="3"/>
  <c r="N27" i="3"/>
  <c r="M40" i="3"/>
  <c r="I44" i="3"/>
  <c r="Q47" i="3"/>
  <c r="H52" i="3"/>
  <c r="N56" i="3"/>
  <c r="R60" i="3"/>
  <c r="E66" i="3"/>
  <c r="P70" i="3"/>
  <c r="N75" i="3"/>
  <c r="G82" i="3"/>
  <c r="R88" i="3"/>
  <c r="I30" i="3"/>
  <c r="I29" i="3"/>
  <c r="E34" i="3"/>
  <c r="E33" i="3"/>
  <c r="O39" i="6"/>
  <c r="M17" i="3"/>
  <c r="H83" i="3"/>
  <c r="K16" i="3"/>
  <c r="F58" i="6"/>
  <c r="P44" i="6"/>
  <c r="F3" i="3"/>
  <c r="E14" i="3"/>
  <c r="P78" i="3"/>
  <c r="G55" i="6"/>
  <c r="M3" i="3"/>
  <c r="O85" i="3"/>
  <c r="E27" i="3"/>
  <c r="N6" i="3"/>
  <c r="E9" i="3"/>
  <c r="I10" i="3"/>
  <c r="H13" i="3"/>
  <c r="F34" i="3"/>
  <c r="L36" i="3"/>
  <c r="I38" i="3"/>
  <c r="L48" i="3"/>
  <c r="E61" i="3"/>
  <c r="H82" i="3"/>
  <c r="G89" i="3"/>
  <c r="K32" i="6"/>
  <c r="L9" i="3"/>
  <c r="D10" i="3"/>
  <c r="H10" i="3"/>
  <c r="K19" i="3"/>
  <c r="H5" i="3"/>
  <c r="N21" i="3"/>
  <c r="N22" i="3"/>
  <c r="G34" i="3"/>
  <c r="F36" i="6"/>
  <c r="F39" i="6"/>
  <c r="F40" i="6"/>
  <c r="F41" i="6"/>
  <c r="F42" i="6"/>
  <c r="F33" i="6"/>
  <c r="F34" i="6"/>
  <c r="F32" i="6"/>
  <c r="F37" i="6"/>
  <c r="F44" i="6"/>
  <c r="F38" i="6"/>
  <c r="O44" i="6"/>
  <c r="O42" i="6"/>
  <c r="K86" i="3"/>
  <c r="F84" i="3"/>
  <c r="F76" i="3"/>
  <c r="F68" i="3"/>
  <c r="K87" i="3"/>
  <c r="K79" i="3"/>
  <c r="K71" i="3"/>
  <c r="K63" i="3"/>
  <c r="K55" i="3"/>
  <c r="K47" i="3"/>
  <c r="F85" i="3"/>
  <c r="F77" i="3"/>
  <c r="F69" i="3"/>
  <c r="F61" i="3"/>
  <c r="K89" i="3"/>
  <c r="K81" i="3"/>
  <c r="K73" i="3"/>
  <c r="K65" i="3"/>
  <c r="K57" i="3"/>
  <c r="K49" i="3"/>
  <c r="K41" i="3"/>
  <c r="K82" i="3"/>
  <c r="K74" i="3"/>
  <c r="K66" i="3"/>
  <c r="K58" i="3"/>
  <c r="F83" i="3"/>
  <c r="F41" i="3"/>
  <c r="K51" i="3"/>
  <c r="F88" i="3"/>
  <c r="F81" i="3"/>
  <c r="F71" i="3"/>
  <c r="F57" i="3"/>
  <c r="F50" i="3"/>
  <c r="F86" i="3"/>
  <c r="F66" i="3"/>
  <c r="F60" i="3"/>
  <c r="K70" i="3"/>
  <c r="F62" i="3"/>
  <c r="F52" i="3"/>
  <c r="K48" i="3"/>
  <c r="K43" i="3"/>
  <c r="K88" i="3"/>
  <c r="K83" i="3"/>
  <c r="F72" i="3"/>
  <c r="F70" i="3"/>
  <c r="F45" i="3"/>
  <c r="K67" i="3"/>
  <c r="K61" i="3"/>
  <c r="K59" i="3"/>
  <c r="F74" i="3"/>
  <c r="K53" i="3"/>
  <c r="F48" i="3"/>
  <c r="K78" i="3"/>
  <c r="K85" i="3"/>
  <c r="K76" i="3"/>
  <c r="F55" i="3"/>
  <c r="K46" i="3"/>
  <c r="F43" i="3"/>
  <c r="D5" i="3"/>
  <c r="K80" i="3"/>
  <c r="K69" i="3"/>
  <c r="F63" i="3"/>
  <c r="F46" i="3"/>
  <c r="F89" i="3"/>
  <c r="K77" i="3"/>
  <c r="F49" i="3"/>
  <c r="F47" i="3"/>
  <c r="F44" i="3"/>
  <c r="K42" i="3"/>
  <c r="F73" i="3"/>
  <c r="K62" i="3"/>
  <c r="K60" i="3"/>
  <c r="K54" i="3"/>
  <c r="E72" i="3"/>
  <c r="Q87" i="3"/>
  <c r="Q80" i="3"/>
  <c r="Q49" i="3"/>
  <c r="E85" i="3"/>
  <c r="Q73" i="3"/>
  <c r="O8" i="3"/>
  <c r="O13" i="3"/>
  <c r="G18" i="3"/>
  <c r="G17" i="3"/>
  <c r="N17" i="3"/>
  <c r="N18" i="3"/>
  <c r="F21" i="3"/>
  <c r="F22" i="3"/>
  <c r="J24" i="3"/>
  <c r="J23" i="3"/>
  <c r="M28" i="3"/>
  <c r="E32" i="3"/>
  <c r="I32" i="3"/>
  <c r="O34" i="3"/>
  <c r="G38" i="3"/>
  <c r="G41" i="3"/>
  <c r="K44" i="3"/>
  <c r="O48" i="3"/>
  <c r="M52" i="3"/>
  <c r="P56" i="3"/>
  <c r="G62" i="3"/>
  <c r="O66" i="3"/>
  <c r="M71" i="3"/>
  <c r="I77" i="3"/>
  <c r="H89" i="3"/>
  <c r="J50" i="6"/>
  <c r="D29" i="3"/>
  <c r="D23" i="3"/>
  <c r="G28" i="3"/>
  <c r="N8" i="3"/>
  <c r="G14" i="3"/>
  <c r="G37" i="6"/>
  <c r="G40" i="6"/>
  <c r="G41" i="6"/>
  <c r="G42" i="6"/>
  <c r="G43" i="6"/>
  <c r="G32" i="6"/>
  <c r="G36" i="6"/>
  <c r="G39" i="6"/>
  <c r="G35" i="6"/>
  <c r="G44" i="6"/>
  <c r="G38" i="6"/>
  <c r="M35" i="6"/>
  <c r="G3" i="3"/>
  <c r="L6" i="3"/>
  <c r="L5" i="3"/>
  <c r="M8" i="3"/>
  <c r="F14" i="3"/>
  <c r="J16" i="3"/>
  <c r="J15" i="3"/>
  <c r="M22" i="3"/>
  <c r="M21" i="3"/>
  <c r="R82" i="3"/>
  <c r="R74" i="3"/>
  <c r="R83" i="3"/>
  <c r="R75" i="3"/>
  <c r="R67" i="3"/>
  <c r="R59" i="3"/>
  <c r="R77" i="3"/>
  <c r="R64" i="3"/>
  <c r="R58" i="3"/>
  <c r="R52" i="3"/>
  <c r="R48" i="3"/>
  <c r="R72" i="3"/>
  <c r="R44" i="3"/>
  <c r="R89" i="3"/>
  <c r="R87" i="3"/>
  <c r="R80" i="3"/>
  <c r="R62" i="3"/>
  <c r="R56" i="3"/>
  <c r="R53" i="3"/>
  <c r="R49" i="3"/>
  <c r="R78" i="3"/>
  <c r="R76" i="3"/>
  <c r="R65" i="3"/>
  <c r="R63" i="3"/>
  <c r="R57" i="3"/>
  <c r="R55" i="3"/>
  <c r="R41" i="3"/>
  <c r="D27" i="3"/>
  <c r="R69" i="3"/>
  <c r="R61" i="3"/>
  <c r="R51" i="3"/>
  <c r="R71" i="3"/>
  <c r="R73" i="3"/>
  <c r="R54" i="3"/>
  <c r="R47" i="3"/>
  <c r="R81" i="3"/>
  <c r="R43" i="3"/>
  <c r="H30" i="3"/>
  <c r="H29" i="3"/>
  <c r="N56" i="6"/>
  <c r="N48" i="6"/>
  <c r="N61" i="6" s="1"/>
  <c r="N57" i="6"/>
  <c r="N49" i="6"/>
  <c r="N59" i="6"/>
  <c r="N51" i="6"/>
  <c r="N60" i="6"/>
  <c r="N52" i="6"/>
  <c r="N53" i="6"/>
  <c r="N55" i="6"/>
  <c r="N31" i="3"/>
  <c r="I85" i="3"/>
  <c r="G84" i="3"/>
  <c r="I86" i="3"/>
  <c r="G85" i="3"/>
  <c r="I78" i="3"/>
  <c r="G77" i="3"/>
  <c r="I70" i="3"/>
  <c r="G69" i="3"/>
  <c r="I62" i="3"/>
  <c r="G61" i="3"/>
  <c r="I54" i="3"/>
  <c r="G53" i="3"/>
  <c r="I46" i="3"/>
  <c r="G45" i="3"/>
  <c r="I88" i="3"/>
  <c r="G87" i="3"/>
  <c r="I80" i="3"/>
  <c r="G79" i="3"/>
  <c r="I72" i="3"/>
  <c r="G71" i="3"/>
  <c r="I64" i="3"/>
  <c r="G63" i="3"/>
  <c r="I56" i="3"/>
  <c r="G55" i="3"/>
  <c r="I48" i="3"/>
  <c r="G47" i="3"/>
  <c r="I89" i="3"/>
  <c r="G88" i="3"/>
  <c r="I81" i="3"/>
  <c r="G80" i="3"/>
  <c r="I73" i="3"/>
  <c r="G72" i="3"/>
  <c r="I65" i="3"/>
  <c r="G64" i="3"/>
  <c r="I57" i="3"/>
  <c r="G56" i="3"/>
  <c r="I71" i="3"/>
  <c r="G68" i="3"/>
  <c r="G81" i="3"/>
  <c r="I76" i="3"/>
  <c r="I66" i="3"/>
  <c r="I63" i="3"/>
  <c r="I60" i="3"/>
  <c r="G57" i="3"/>
  <c r="G50" i="3"/>
  <c r="I42" i="3"/>
  <c r="G54" i="3"/>
  <c r="G46" i="3"/>
  <c r="I47" i="3"/>
  <c r="I68" i="3"/>
  <c r="I45" i="3"/>
  <c r="G48" i="3"/>
  <c r="G70" i="3"/>
  <c r="I50" i="3"/>
  <c r="I55" i="3"/>
  <c r="I74" i="3"/>
  <c r="I43" i="3"/>
  <c r="I83" i="3"/>
  <c r="G74" i="3"/>
  <c r="G43" i="3"/>
  <c r="I87" i="3"/>
  <c r="G83" i="3"/>
  <c r="I67" i="3"/>
  <c r="I61" i="3"/>
  <c r="I59" i="3"/>
  <c r="G76" i="3"/>
  <c r="I53" i="3"/>
  <c r="I51" i="3"/>
  <c r="D34" i="3"/>
  <c r="I75" i="3"/>
  <c r="G73" i="3"/>
  <c r="G58" i="3"/>
  <c r="I52" i="3"/>
  <c r="G42" i="3"/>
  <c r="D33" i="3"/>
  <c r="M34" i="3"/>
  <c r="J36" i="3"/>
  <c r="F39" i="3"/>
  <c r="F40" i="3"/>
  <c r="F37" i="3"/>
  <c r="H41" i="3"/>
  <c r="J45" i="3"/>
  <c r="G49" i="3"/>
  <c r="E53" i="3"/>
  <c r="Q56" i="3"/>
  <c r="J62" i="3"/>
  <c r="R66" i="3"/>
  <c r="N71" i="3"/>
  <c r="N83" i="3"/>
  <c r="L38" i="6"/>
  <c r="L50" i="6"/>
  <c r="O6" i="3"/>
  <c r="F9" i="3"/>
  <c r="O17" i="3"/>
  <c r="L53" i="3"/>
  <c r="K30" i="3"/>
  <c r="H38" i="6"/>
  <c r="H41" i="6"/>
  <c r="H42" i="6"/>
  <c r="H43" i="6"/>
  <c r="H44" i="6"/>
  <c r="H33" i="6"/>
  <c r="H36" i="6"/>
  <c r="H40" i="6"/>
  <c r="H32" i="6"/>
  <c r="H39" i="6"/>
  <c r="H37" i="6"/>
  <c r="H35" i="6"/>
  <c r="N4" i="3"/>
  <c r="N3" i="3"/>
  <c r="K7" i="3"/>
  <c r="K8" i="3"/>
  <c r="M13" i="3"/>
  <c r="L17" i="3"/>
  <c r="D21" i="3"/>
  <c r="H24" i="3"/>
  <c r="N25" i="3"/>
  <c r="N26" i="3"/>
  <c r="K28" i="3"/>
  <c r="K27" i="3"/>
  <c r="O30" i="3"/>
  <c r="O55" i="6"/>
  <c r="O57" i="6"/>
  <c r="O49" i="6"/>
  <c r="O58" i="6"/>
  <c r="O50" i="6"/>
  <c r="O53" i="6"/>
  <c r="O56" i="6"/>
  <c r="O54" i="6"/>
  <c r="O51" i="6"/>
  <c r="O48" i="6"/>
  <c r="O61" i="6" s="1"/>
  <c r="O59" i="6"/>
  <c r="O60" i="6"/>
  <c r="E38" i="3"/>
  <c r="J86" i="3"/>
  <c r="J78" i="3"/>
  <c r="J70" i="3"/>
  <c r="J87" i="3"/>
  <c r="J79" i="3"/>
  <c r="J71" i="3"/>
  <c r="J63" i="3"/>
  <c r="J55" i="3"/>
  <c r="J88" i="3"/>
  <c r="J76" i="3"/>
  <c r="J66" i="3"/>
  <c r="J60" i="3"/>
  <c r="J54" i="3"/>
  <c r="J46" i="3"/>
  <c r="J42" i="3"/>
  <c r="J74" i="3"/>
  <c r="J51" i="3"/>
  <c r="J84" i="3"/>
  <c r="J69" i="3"/>
  <c r="J58" i="3"/>
  <c r="J72" i="3"/>
  <c r="J50" i="3"/>
  <c r="J81" i="3"/>
  <c r="J48" i="3"/>
  <c r="J43" i="3"/>
  <c r="J83" i="3"/>
  <c r="D40" i="3"/>
  <c r="J67" i="3"/>
  <c r="J61" i="3"/>
  <c r="J59" i="3"/>
  <c r="J82" i="3"/>
  <c r="J80" i="3"/>
  <c r="J65" i="3"/>
  <c r="J57" i="3"/>
  <c r="J53" i="3"/>
  <c r="J85" i="3"/>
  <c r="J41" i="3"/>
  <c r="J64" i="3"/>
  <c r="J56" i="3"/>
  <c r="J52" i="3"/>
  <c r="J77" i="3"/>
  <c r="O40" i="3"/>
  <c r="O39" i="3"/>
  <c r="M14" i="3"/>
  <c r="L18" i="3"/>
  <c r="D26" i="3"/>
  <c r="G37" i="3"/>
  <c r="I41" i="3"/>
  <c r="K45" i="3"/>
  <c r="H49" i="3"/>
  <c r="F53" i="3"/>
  <c r="E58" i="3"/>
  <c r="M62" i="3"/>
  <c r="E67" i="3"/>
  <c r="O71" i="3"/>
  <c r="N77" i="3"/>
  <c r="P83" i="3"/>
  <c r="L89" i="3"/>
  <c r="N50" i="6"/>
  <c r="Q89" i="3"/>
  <c r="E84" i="3"/>
  <c r="Q82" i="3"/>
  <c r="E76" i="3"/>
  <c r="Q74" i="3"/>
  <c r="E68" i="3"/>
  <c r="Q66" i="3"/>
  <c r="E60" i="3"/>
  <c r="Q58" i="3"/>
  <c r="E52" i="3"/>
  <c r="Q50" i="3"/>
  <c r="E44" i="3"/>
  <c r="Q42" i="3"/>
  <c r="E86" i="3"/>
  <c r="Q84" i="3"/>
  <c r="E78" i="3"/>
  <c r="Q76" i="3"/>
  <c r="E70" i="3"/>
  <c r="Q68" i="3"/>
  <c r="E62" i="3"/>
  <c r="Q60" i="3"/>
  <c r="E54" i="3"/>
  <c r="Q52" i="3"/>
  <c r="E46" i="3"/>
  <c r="Q44" i="3"/>
  <c r="E87" i="3"/>
  <c r="Q85" i="3"/>
  <c r="E79" i="3"/>
  <c r="Q77" i="3"/>
  <c r="E71" i="3"/>
  <c r="Q69" i="3"/>
  <c r="E63" i="3"/>
  <c r="Q61" i="3"/>
  <c r="E55" i="3"/>
  <c r="Q53" i="3"/>
  <c r="E73" i="3"/>
  <c r="E45" i="3"/>
  <c r="E83" i="3"/>
  <c r="Q67" i="3"/>
  <c r="Q64" i="3"/>
  <c r="Q48" i="3"/>
  <c r="E41" i="3"/>
  <c r="Q72" i="3"/>
  <c r="Q75" i="3"/>
  <c r="Q70" i="3"/>
  <c r="E15" i="3"/>
  <c r="H21" i="3"/>
  <c r="O28" i="3"/>
  <c r="K55" i="6"/>
  <c r="K56" i="6"/>
  <c r="K48" i="6"/>
  <c r="K61" i="6" s="1"/>
  <c r="K58" i="6"/>
  <c r="K50" i="6"/>
  <c r="K59" i="6"/>
  <c r="K51" i="6"/>
  <c r="K49" i="6"/>
  <c r="K54" i="6"/>
  <c r="K52" i="6"/>
  <c r="H33" i="3"/>
  <c r="J40" i="3"/>
  <c r="J39" i="3"/>
  <c r="E4" i="3"/>
  <c r="M10" i="3"/>
  <c r="G20" i="3"/>
  <c r="E22" i="3"/>
  <c r="K25" i="3"/>
  <c r="G31" i="3"/>
  <c r="E35" i="3"/>
  <c r="L38" i="3"/>
  <c r="L45" i="3"/>
  <c r="E47" i="3"/>
  <c r="E49" i="3"/>
  <c r="H56" i="3"/>
  <c r="H64" i="3"/>
  <c r="L66" i="3"/>
  <c r="L68" i="3"/>
  <c r="H75" i="3"/>
  <c r="P79" i="3"/>
  <c r="Q83" i="3"/>
  <c r="E89" i="3"/>
  <c r="P32" i="6"/>
  <c r="L34" i="6"/>
  <c r="M39" i="6"/>
  <c r="M41" i="6"/>
  <c r="F50" i="6"/>
  <c r="F52" i="6"/>
  <c r="I3" i="3"/>
  <c r="F6" i="3"/>
  <c r="E10" i="3"/>
  <c r="G10" i="3"/>
  <c r="L16" i="3"/>
  <c r="O22" i="3"/>
  <c r="F27" i="3"/>
  <c r="F28" i="3"/>
  <c r="J29" i="3"/>
  <c r="L54" i="6"/>
  <c r="L56" i="6"/>
  <c r="L48" i="6"/>
  <c r="L61" i="6" s="1"/>
  <c r="L57" i="6"/>
  <c r="L49" i="6"/>
  <c r="L60" i="6"/>
  <c r="L52" i="6"/>
  <c r="L58" i="6"/>
  <c r="F4" i="3"/>
  <c r="N10" i="3"/>
  <c r="H20" i="3"/>
  <c r="L27" i="3"/>
  <c r="H31" i="3"/>
  <c r="M45" i="3"/>
  <c r="L54" i="3"/>
  <c r="H58" i="3"/>
  <c r="L60" i="3"/>
  <c r="L62" i="3"/>
  <c r="M68" i="3"/>
  <c r="Q79" i="3"/>
  <c r="E82" i="3"/>
  <c r="H84" i="3"/>
  <c r="P86" i="3"/>
  <c r="G50" i="6"/>
  <c r="G52" i="6"/>
  <c r="F56" i="6"/>
  <c r="K41" i="6"/>
  <c r="K44" i="6"/>
  <c r="K34" i="6"/>
  <c r="K36" i="6"/>
  <c r="K40" i="6"/>
  <c r="F15" i="3"/>
  <c r="F16" i="3"/>
  <c r="M19" i="3"/>
  <c r="J32" i="3"/>
  <c r="I33" i="3"/>
  <c r="F35" i="3"/>
  <c r="F36" i="3"/>
  <c r="K39" i="3"/>
  <c r="E43" i="3"/>
  <c r="L44" i="3"/>
  <c r="M49" i="3"/>
  <c r="E57" i="3"/>
  <c r="H59" i="3"/>
  <c r="H61" i="3"/>
  <c r="H65" i="3"/>
  <c r="H67" i="3"/>
  <c r="P71" i="3"/>
  <c r="L78" i="3"/>
  <c r="K33" i="6"/>
  <c r="K42" i="6"/>
  <c r="H57" i="6"/>
  <c r="L59" i="6"/>
  <c r="L42" i="6"/>
  <c r="L32" i="6"/>
  <c r="L35" i="6"/>
  <c r="L37" i="6"/>
  <c r="L40" i="6"/>
  <c r="L43" i="6"/>
  <c r="J3" i="3"/>
  <c r="G6" i="3"/>
  <c r="J10" i="3"/>
  <c r="M16" i="3"/>
  <c r="H18" i="3"/>
  <c r="L19" i="3"/>
  <c r="G27" i="3"/>
  <c r="G33" i="3"/>
  <c r="H17" i="3"/>
  <c r="M44" i="3"/>
  <c r="E48" i="3"/>
  <c r="M51" i="3"/>
  <c r="M63" i="3"/>
  <c r="O69" i="3"/>
  <c r="Q71" i="3"/>
  <c r="E74" i="3"/>
  <c r="M78" i="3"/>
  <c r="O80" i="3"/>
  <c r="O87" i="3"/>
  <c r="L33" i="6"/>
  <c r="P40" i="6"/>
  <c r="L44" i="6"/>
  <c r="F55" i="6"/>
  <c r="M43" i="6"/>
  <c r="M32" i="6"/>
  <c r="M33" i="6"/>
  <c r="M36" i="6"/>
  <c r="M38" i="6"/>
  <c r="M40" i="6"/>
  <c r="M37" i="6"/>
  <c r="M34" i="6"/>
  <c r="E6" i="3"/>
  <c r="F10" i="3"/>
  <c r="G21" i="3"/>
  <c r="L87" i="3"/>
  <c r="L79" i="3"/>
  <c r="L71" i="3"/>
  <c r="L88" i="3"/>
  <c r="L80" i="3"/>
  <c r="L72" i="3"/>
  <c r="L64" i="3"/>
  <c r="L56" i="3"/>
  <c r="L63" i="3"/>
  <c r="L51" i="3"/>
  <c r="L74" i="3"/>
  <c r="N28" i="3"/>
  <c r="L86" i="3"/>
  <c r="L84" i="3"/>
  <c r="L69" i="3"/>
  <c r="L47" i="3"/>
  <c r="L43" i="3"/>
  <c r="L82" i="3"/>
  <c r="L67" i="3"/>
  <c r="L61" i="3"/>
  <c r="L55" i="3"/>
  <c r="L52" i="3"/>
  <c r="F31" i="3"/>
  <c r="F32" i="3"/>
  <c r="D35" i="3"/>
  <c r="J37" i="3"/>
  <c r="I39" i="3"/>
  <c r="E5" i="3"/>
  <c r="L15" i="3"/>
  <c r="D25" i="3"/>
  <c r="J30" i="3"/>
  <c r="N39" i="3"/>
  <c r="M41" i="3"/>
  <c r="L46" i="3"/>
  <c r="P49" i="3"/>
  <c r="H55" i="3"/>
  <c r="L57" i="3"/>
  <c r="L65" i="3"/>
  <c r="P69" i="3"/>
  <c r="L76" i="3"/>
  <c r="P80" i="3"/>
  <c r="L85" i="3"/>
  <c r="P87" i="3"/>
  <c r="K35" i="6"/>
  <c r="M44" i="6"/>
  <c r="L51" i="6"/>
  <c r="K57" i="6"/>
  <c r="O32" i="6"/>
  <c r="O33" i="6"/>
  <c r="O34" i="6"/>
  <c r="O35" i="6"/>
  <c r="O38" i="6"/>
  <c r="O40" i="6"/>
  <c r="O37" i="6"/>
  <c r="O43" i="6"/>
  <c r="O41" i="6"/>
  <c r="O4" i="3"/>
  <c r="N13" i="3"/>
  <c r="N14" i="3"/>
  <c r="F18" i="3"/>
  <c r="I24" i="3"/>
  <c r="F59" i="6"/>
  <c r="F51" i="6"/>
  <c r="F60" i="6"/>
  <c r="M87" i="3"/>
  <c r="F53" i="6"/>
  <c r="H85" i="3"/>
  <c r="H77" i="3"/>
  <c r="H69" i="3"/>
  <c r="M88" i="3"/>
  <c r="M80" i="3"/>
  <c r="M72" i="3"/>
  <c r="M64" i="3"/>
  <c r="M56" i="3"/>
  <c r="M48" i="3"/>
  <c r="F54" i="6"/>
  <c r="H86" i="3"/>
  <c r="H78" i="3"/>
  <c r="H70" i="3"/>
  <c r="H62" i="3"/>
  <c r="M82" i="3"/>
  <c r="M74" i="3"/>
  <c r="M66" i="3"/>
  <c r="M58" i="3"/>
  <c r="M50" i="3"/>
  <c r="M42" i="3"/>
  <c r="M83" i="3"/>
  <c r="M75" i="3"/>
  <c r="M67" i="3"/>
  <c r="M59" i="3"/>
  <c r="F57" i="6"/>
  <c r="F49" i="6"/>
  <c r="H81" i="3"/>
  <c r="H57" i="3"/>
  <c r="H50" i="3"/>
  <c r="H88" i="3"/>
  <c r="M86" i="3"/>
  <c r="M84" i="3"/>
  <c r="H71" i="3"/>
  <c r="M69" i="3"/>
  <c r="H54" i="3"/>
  <c r="M47" i="3"/>
  <c r="H46" i="3"/>
  <c r="M43" i="3"/>
  <c r="M79" i="3"/>
  <c r="H76" i="3"/>
  <c r="H66" i="3"/>
  <c r="H63" i="3"/>
  <c r="H60" i="3"/>
  <c r="H42" i="3"/>
  <c r="H79" i="3"/>
  <c r="M77" i="3"/>
  <c r="H74" i="3"/>
  <c r="H51" i="3"/>
  <c r="O31" i="3"/>
  <c r="G5" i="3"/>
  <c r="I23" i="3"/>
  <c r="H34" i="3"/>
  <c r="P41" i="3"/>
  <c r="H48" i="3"/>
  <c r="E50" i="3"/>
  <c r="Q51" i="3"/>
  <c r="M53" i="3"/>
  <c r="M55" i="3"/>
  <c r="P57" i="3"/>
  <c r="L59" i="3"/>
  <c r="M61" i="3"/>
  <c r="P63" i="3"/>
  <c r="P65" i="3"/>
  <c r="E81" i="3"/>
  <c r="E88" i="3"/>
  <c r="K37" i="6"/>
  <c r="K53" i="6"/>
  <c r="P33" i="6"/>
  <c r="P34" i="6"/>
  <c r="P35" i="6"/>
  <c r="P36" i="6"/>
  <c r="P39" i="6"/>
  <c r="P41" i="6"/>
  <c r="P42" i="6"/>
  <c r="P37" i="6"/>
  <c r="P43" i="6"/>
  <c r="P38" i="6"/>
  <c r="J7" i="3"/>
  <c r="L22" i="3"/>
  <c r="P89" i="3"/>
  <c r="P81" i="3"/>
  <c r="P73" i="3"/>
  <c r="P82" i="3"/>
  <c r="P74" i="3"/>
  <c r="P66" i="3"/>
  <c r="P58" i="3"/>
  <c r="P61" i="3"/>
  <c r="P55" i="3"/>
  <c r="P77" i="3"/>
  <c r="P52" i="3"/>
  <c r="P67" i="3"/>
  <c r="P64" i="3"/>
  <c r="P48" i="3"/>
  <c r="P44" i="3"/>
  <c r="G30" i="3"/>
  <c r="G60" i="6"/>
  <c r="G53" i="6"/>
  <c r="G54" i="6"/>
  <c r="G56" i="6"/>
  <c r="G48" i="6"/>
  <c r="G61" i="6" s="1"/>
  <c r="G57" i="6"/>
  <c r="G49" i="6"/>
  <c r="G58" i="6"/>
  <c r="G51" i="6"/>
  <c r="M31" i="3"/>
  <c r="I36" i="3"/>
  <c r="O37" i="3"/>
  <c r="J8" i="3"/>
  <c r="L21" i="3"/>
  <c r="I34" i="3"/>
  <c r="Q41" i="3"/>
  <c r="H45" i="3"/>
  <c r="O46" i="3"/>
  <c r="Q55" i="3"/>
  <c r="Q57" i="3"/>
  <c r="Q63" i="3"/>
  <c r="Q65" i="3"/>
  <c r="H68" i="3"/>
  <c r="H72" i="3"/>
  <c r="O74" i="3"/>
  <c r="P76" i="3"/>
  <c r="Q78" i="3"/>
  <c r="L53" i="6"/>
  <c r="M4" i="3"/>
  <c r="L13" i="3"/>
  <c r="G24" i="3"/>
  <c r="J28" i="3"/>
  <c r="N29" i="3"/>
  <c r="N30" i="3"/>
  <c r="H60" i="6"/>
  <c r="H52" i="6"/>
  <c r="H54" i="6"/>
  <c r="H55" i="6"/>
  <c r="H58" i="6"/>
  <c r="H50" i="6"/>
  <c r="H51" i="6"/>
  <c r="H56" i="6"/>
  <c r="H49" i="6"/>
  <c r="D38" i="3"/>
  <c r="O88" i="3"/>
  <c r="O89" i="3"/>
  <c r="O81" i="3"/>
  <c r="O73" i="3"/>
  <c r="O65" i="3"/>
  <c r="O57" i="3"/>
  <c r="O49" i="3"/>
  <c r="O41" i="3"/>
  <c r="O83" i="3"/>
  <c r="O75" i="3"/>
  <c r="O67" i="3"/>
  <c r="O59" i="3"/>
  <c r="O51" i="3"/>
  <c r="O43" i="3"/>
  <c r="O84" i="3"/>
  <c r="O76" i="3"/>
  <c r="O68" i="3"/>
  <c r="O60" i="3"/>
  <c r="O52" i="3"/>
  <c r="O79" i="3"/>
  <c r="O61" i="3"/>
  <c r="O58" i="3"/>
  <c r="O55" i="3"/>
  <c r="O82" i="3"/>
  <c r="O77" i="3"/>
  <c r="O72" i="3"/>
  <c r="D7" i="3"/>
  <c r="M32" i="3"/>
  <c r="P46" i="3"/>
  <c r="O53" i="3"/>
  <c r="P59" i="3"/>
  <c r="E75" i="3"/>
  <c r="L81" i="3"/>
  <c r="L83" i="3"/>
  <c r="P85" i="3"/>
  <c r="P88" i="3"/>
  <c r="G45" i="6" l="1"/>
  <c r="N90" i="3"/>
  <c r="I90" i="3"/>
  <c r="F90" i="3"/>
  <c r="F162" i="3" s="1"/>
  <c r="F45" i="6"/>
  <c r="L90" i="3"/>
  <c r="I45" i="6"/>
  <c r="K90" i="3"/>
  <c r="J45" i="6"/>
  <c r="N45" i="6"/>
  <c r="P90" i="3"/>
  <c r="P162" i="3" s="1"/>
  <c r="M45" i="6"/>
  <c r="O90" i="3"/>
  <c r="M90" i="3"/>
  <c r="P45" i="6"/>
  <c r="R90" i="3"/>
  <c r="K45" i="6"/>
  <c r="Q90" i="3"/>
  <c r="O45" i="6"/>
  <c r="E90" i="3"/>
  <c r="E162" i="3" s="1"/>
  <c r="J90" i="3"/>
  <c r="L45" i="6"/>
  <c r="H90" i="3"/>
  <c r="H162" i="3" s="1"/>
  <c r="G90" i="3"/>
  <c r="G162" i="3" s="1"/>
  <c r="H4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Q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Lenovo:</t>
        </r>
        <r>
          <rPr>
            <sz val="9"/>
            <rFont val="宋体"/>
            <family val="3"/>
            <charset val="134"/>
          </rPr>
          <t xml:space="preserve">
101/104</t>
        </r>
      </text>
    </comment>
    <comment ref="R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Lenovo:</t>
        </r>
        <r>
          <rPr>
            <sz val="9"/>
            <rFont val="宋体"/>
            <family val="3"/>
            <charset val="134"/>
          </rPr>
          <t xml:space="preserve">
102/103</t>
        </r>
      </text>
    </comment>
    <comment ref="S2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Lenovo:</t>
        </r>
        <r>
          <rPr>
            <sz val="9"/>
            <rFont val="宋体"/>
            <family val="3"/>
            <charset val="134"/>
          </rPr>
          <t xml:space="preserve">
101/104</t>
        </r>
      </text>
    </comment>
    <comment ref="T2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Lenovo:</t>
        </r>
        <r>
          <rPr>
            <sz val="9"/>
            <rFont val="宋体"/>
            <family val="3"/>
            <charset val="134"/>
          </rPr>
          <t xml:space="preserve">
102/103</t>
        </r>
      </text>
    </comment>
    <comment ref="U2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Lenovo:</t>
        </r>
        <r>
          <rPr>
            <sz val="9"/>
            <rFont val="宋体"/>
            <family val="3"/>
            <charset val="134"/>
          </rPr>
          <t xml:space="preserve">
207/209/210/211</t>
        </r>
      </text>
    </comment>
    <comment ref="V2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Lenovo:</t>
        </r>
        <r>
          <rPr>
            <sz val="9"/>
            <rFont val="宋体"/>
            <family val="3"/>
            <charset val="134"/>
          </rPr>
          <t xml:space="preserve">
208/209/210/211</t>
        </r>
      </text>
    </comment>
    <comment ref="W2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Lenovo:</t>
        </r>
        <r>
          <rPr>
            <sz val="9"/>
            <rFont val="宋体"/>
            <family val="3"/>
            <charset val="134"/>
          </rPr>
          <t xml:space="preserve">
207/208/209</t>
        </r>
      </text>
    </comment>
    <comment ref="X2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Lenovo:</t>
        </r>
        <r>
          <rPr>
            <sz val="9"/>
            <rFont val="宋体"/>
            <family val="3"/>
            <charset val="134"/>
          </rPr>
          <t xml:space="preserve">
207/208/210</t>
        </r>
      </text>
    </comment>
    <comment ref="Y2" authorId="0" shapeId="0" xr:uid="{00000000-0006-0000-0000-000009000000}">
      <text>
        <r>
          <rPr>
            <b/>
            <sz val="9"/>
            <rFont val="宋体"/>
            <family val="3"/>
            <charset val="134"/>
          </rPr>
          <t>Lenovo:</t>
        </r>
        <r>
          <rPr>
            <sz val="9"/>
            <rFont val="宋体"/>
            <family val="3"/>
            <charset val="134"/>
          </rPr>
          <t xml:space="preserve">
207/208/211</t>
        </r>
      </text>
    </comment>
  </commentList>
</comments>
</file>

<file path=xl/sharedStrings.xml><?xml version="1.0" encoding="utf-8"?>
<sst xmlns="http://schemas.openxmlformats.org/spreadsheetml/2006/main" count="4435" uniqueCount="259">
  <si>
    <t>江河高级中学2026年春季学期课务安排表</t>
  </si>
  <si>
    <t>科目</t>
  </si>
  <si>
    <t>高一（1）班</t>
  </si>
  <si>
    <t>高一（2）班</t>
  </si>
  <si>
    <t>高一（3）班</t>
  </si>
  <si>
    <t>高一（4）班</t>
  </si>
  <si>
    <t>高二（1）班</t>
  </si>
  <si>
    <t>高二（2）班</t>
  </si>
  <si>
    <t>高二（3）班</t>
  </si>
  <si>
    <t>高二（4）班</t>
  </si>
  <si>
    <t>高二（5）班</t>
  </si>
  <si>
    <t>高二（6）班</t>
  </si>
  <si>
    <t>高二（7）班</t>
  </si>
  <si>
    <t>高二（8）班</t>
  </si>
  <si>
    <t>高二（9）班</t>
  </si>
  <si>
    <t>高二（10）班</t>
  </si>
  <si>
    <t>高二（11）班</t>
  </si>
  <si>
    <t>高一英语（1）班</t>
  </si>
  <si>
    <t>高一英语（2）班</t>
  </si>
  <si>
    <t>高一俄语（1）班</t>
  </si>
  <si>
    <t>高一俄语（2）班</t>
  </si>
  <si>
    <t>高二俄语（2）班</t>
  </si>
  <si>
    <t>高二俄语（1）班</t>
  </si>
  <si>
    <t>高二英语（1）班</t>
  </si>
  <si>
    <t>高二英语（2）班</t>
  </si>
  <si>
    <t>高二英语（3）班</t>
  </si>
  <si>
    <t>语文</t>
  </si>
  <si>
    <t>杨彬</t>
  </si>
  <si>
    <t>史振塞</t>
  </si>
  <si>
    <t>张冰雪</t>
  </si>
  <si>
    <t>姜媛媛</t>
  </si>
  <si>
    <t>王雪莲</t>
  </si>
  <si>
    <t>路睿</t>
  </si>
  <si>
    <t>王菲</t>
  </si>
  <si>
    <t>数学</t>
  </si>
  <si>
    <t>侯淑贤</t>
  </si>
  <si>
    <t>姚来朋</t>
  </si>
  <si>
    <t>赵雪敏</t>
  </si>
  <si>
    <t>王露</t>
  </si>
  <si>
    <t>范林林</t>
  </si>
  <si>
    <t>高文凤</t>
  </si>
  <si>
    <t>孙娜</t>
  </si>
  <si>
    <t>外语</t>
  </si>
  <si>
    <t>岳/厉</t>
  </si>
  <si>
    <t>王灼</t>
  </si>
  <si>
    <t>翟淑玮</t>
  </si>
  <si>
    <t>韩丽梅</t>
  </si>
  <si>
    <t>宋平</t>
  </si>
  <si>
    <t>胡存想</t>
  </si>
  <si>
    <t>王/宋/翟/胡</t>
  </si>
  <si>
    <t>韩/宋/翟/胡</t>
  </si>
  <si>
    <t>宋/韩/王</t>
  </si>
  <si>
    <t>翟/韩/王</t>
  </si>
  <si>
    <t>胡/韩/王</t>
  </si>
  <si>
    <t>物理</t>
  </si>
  <si>
    <t>康波</t>
  </si>
  <si>
    <t>张雨晴</t>
  </si>
  <si>
    <t>孙存义</t>
  </si>
  <si>
    <t>化学</t>
  </si>
  <si>
    <t>马崇庆</t>
  </si>
  <si>
    <t>宋开元</t>
  </si>
  <si>
    <t>李振铎</t>
  </si>
  <si>
    <t>生物</t>
  </si>
  <si>
    <t>周兴玲</t>
  </si>
  <si>
    <t>刘腾</t>
  </si>
  <si>
    <t>蒋心言</t>
  </si>
  <si>
    <t>历史</t>
  </si>
  <si>
    <t>李雯</t>
  </si>
  <si>
    <t>田凤美</t>
  </si>
  <si>
    <t>董艳华</t>
  </si>
  <si>
    <t>夏文杰</t>
  </si>
  <si>
    <t>政治</t>
  </si>
  <si>
    <t>刘珊珊</t>
  </si>
  <si>
    <t>张雯皓</t>
  </si>
  <si>
    <t>张鑫</t>
  </si>
  <si>
    <t>李浩然</t>
  </si>
  <si>
    <t>地理</t>
  </si>
  <si>
    <t>李会玲</t>
  </si>
  <si>
    <t>孙锦锦</t>
  </si>
  <si>
    <t>孙秋杰</t>
  </si>
  <si>
    <t>王硕</t>
  </si>
  <si>
    <t>体育</t>
  </si>
  <si>
    <t>王庆超</t>
  </si>
  <si>
    <t>袁奇</t>
  </si>
  <si>
    <t>刘天骄</t>
  </si>
  <si>
    <t>音乐</t>
  </si>
  <si>
    <t>李冰慧</t>
  </si>
  <si>
    <t>美术</t>
  </si>
  <si>
    <t>张苏</t>
  </si>
  <si>
    <t>信息</t>
  </si>
  <si>
    <t>张喆</t>
  </si>
  <si>
    <t>孙显阳</t>
  </si>
  <si>
    <t>通用</t>
  </si>
  <si>
    <t>班会</t>
  </si>
  <si>
    <t>厉彦龙</t>
  </si>
  <si>
    <t>自习</t>
  </si>
  <si>
    <t>自习（语）</t>
  </si>
  <si>
    <t>自习（数）</t>
  </si>
  <si>
    <t>自习（外）</t>
  </si>
  <si>
    <t>自习（物）</t>
  </si>
  <si>
    <t>自习（化）</t>
  </si>
  <si>
    <t>自习（生）</t>
  </si>
  <si>
    <t>自习（历）</t>
  </si>
  <si>
    <t>自习（政）</t>
  </si>
  <si>
    <t>自习（地）</t>
  </si>
  <si>
    <t>政史</t>
  </si>
  <si>
    <t>理化</t>
  </si>
  <si>
    <t>地生</t>
  </si>
  <si>
    <t>听力</t>
  </si>
  <si>
    <t>练字（语）</t>
  </si>
  <si>
    <t>练字（外）</t>
  </si>
  <si>
    <t>语 文</t>
  </si>
  <si>
    <t>外 语</t>
  </si>
  <si>
    <t>生 物</t>
  </si>
  <si>
    <t>政 治</t>
  </si>
  <si>
    <t>历 史</t>
  </si>
  <si>
    <t>地 理</t>
  </si>
  <si>
    <t>活动</t>
  </si>
  <si>
    <t>限时（语）</t>
  </si>
  <si>
    <t>限时（数）</t>
  </si>
  <si>
    <t>限时（外）</t>
  </si>
  <si>
    <t>限时（物）</t>
  </si>
  <si>
    <t>限时（化）</t>
  </si>
  <si>
    <t>限时（生）</t>
  </si>
  <si>
    <t>限时（历）</t>
  </si>
  <si>
    <t>限时（政）</t>
  </si>
  <si>
    <t>限时（地）</t>
  </si>
  <si>
    <t>阅读</t>
  </si>
  <si>
    <t>自习 （数）</t>
  </si>
  <si>
    <t>自习 （外）</t>
  </si>
  <si>
    <t>自习 （物）</t>
  </si>
  <si>
    <t>自习 （化）</t>
  </si>
  <si>
    <t>自习 （生）</t>
  </si>
  <si>
    <t>自习 （历）</t>
  </si>
  <si>
    <t>体育训练</t>
  </si>
  <si>
    <t>美术集训</t>
  </si>
  <si>
    <t>英语</t>
  </si>
  <si>
    <t>岳海霞</t>
  </si>
  <si>
    <t>俄语</t>
  </si>
  <si>
    <t>听力（英）</t>
  </si>
  <si>
    <t>听力（俄）</t>
  </si>
  <si>
    <t>练字（英）</t>
  </si>
  <si>
    <t>练字（俄）</t>
  </si>
  <si>
    <t>限时（英）</t>
  </si>
  <si>
    <t>限时（俄）</t>
  </si>
  <si>
    <t>自习（英）</t>
  </si>
  <si>
    <t>自习（俄）</t>
  </si>
  <si>
    <t>江河高级中学2026年春季学期总课表
星      期      一</t>
  </si>
  <si>
    <t>江河高级中学2026年春季学期总课表
星      期      二</t>
  </si>
  <si>
    <t>江河高级中学2026年春季学期总课表
星      期      三</t>
  </si>
  <si>
    <t>江河高级中学2026年春季学期总课表
星      期      四</t>
  </si>
  <si>
    <t>江河高级中学2026年春季学期总课表
星      期      五</t>
  </si>
  <si>
    <t>江河高级中学2026年春季学期总课表
星      期      六</t>
  </si>
  <si>
    <t>江河高级中学2026年春季学期总课表
星      期      日</t>
  </si>
  <si>
    <t>江河高级中学2026年春季学期高中总课表
星      期      四</t>
  </si>
  <si>
    <t>班级
序号</t>
  </si>
  <si>
    <t>班级</t>
  </si>
  <si>
    <t>早上</t>
  </si>
  <si>
    <t>晨读</t>
  </si>
  <si>
    <t>早读</t>
  </si>
  <si>
    <t>上    午</t>
  </si>
  <si>
    <t>大课间</t>
  </si>
  <si>
    <t>下   午</t>
  </si>
  <si>
    <t>午练</t>
  </si>
  <si>
    <t>晚上</t>
  </si>
  <si>
    <t>晚读</t>
  </si>
  <si>
    <t>晚1</t>
  </si>
  <si>
    <t>晚2</t>
  </si>
  <si>
    <t>晚3</t>
  </si>
  <si>
    <t>晚4</t>
  </si>
  <si>
    <t xml:space="preserve">   　  星 期
 节 次</t>
  </si>
  <si>
    <t>时间</t>
  </si>
  <si>
    <t>一</t>
  </si>
  <si>
    <t>二</t>
  </si>
  <si>
    <t>三</t>
  </si>
  <si>
    <t>四</t>
  </si>
  <si>
    <t>五</t>
  </si>
  <si>
    <t>六</t>
  </si>
  <si>
    <t>日</t>
  </si>
  <si>
    <t>6：25—6：40</t>
  </si>
  <si>
    <t>7:05-7:30</t>
  </si>
  <si>
    <t>上   午</t>
  </si>
  <si>
    <t>7:40—8：20</t>
  </si>
  <si>
    <t>8：30—9：10</t>
  </si>
  <si>
    <t>9：10—9：40</t>
  </si>
  <si>
    <t>大        课        间</t>
  </si>
  <si>
    <t>9:40—10:20</t>
  </si>
  <si>
    <t>10:30—11：10</t>
  </si>
  <si>
    <t>11：20—12：00</t>
  </si>
  <si>
    <t>14：05—14：50</t>
  </si>
  <si>
    <t>14：15—14：55</t>
  </si>
  <si>
    <t>15：05—15：45</t>
  </si>
  <si>
    <t>15：55—16：15</t>
  </si>
  <si>
    <t>16:15—16：55</t>
  </si>
  <si>
    <t>17：05—17：45</t>
  </si>
  <si>
    <t>晚
上</t>
  </si>
  <si>
    <t>18:10—18：30</t>
  </si>
  <si>
    <t>自习1</t>
  </si>
  <si>
    <t>18：30—19：10</t>
  </si>
  <si>
    <t>自习2</t>
  </si>
  <si>
    <t>19：20—20：00</t>
  </si>
  <si>
    <t>自习3</t>
  </si>
  <si>
    <t>20：10—20：50</t>
  </si>
  <si>
    <t>自习4</t>
  </si>
  <si>
    <t>21：00—21：40</t>
  </si>
  <si>
    <t>班级简记</t>
  </si>
  <si>
    <t>班级名</t>
  </si>
  <si>
    <t>班级序号</t>
  </si>
  <si>
    <t>高一（1)班</t>
  </si>
  <si>
    <t>高一（2)班</t>
  </si>
  <si>
    <t>高一（3)班</t>
  </si>
  <si>
    <t>高一（4)班</t>
  </si>
  <si>
    <t>高二（1)班</t>
  </si>
  <si>
    <t>高二（2)班</t>
  </si>
  <si>
    <t>高二（3)班</t>
  </si>
  <si>
    <t>高二（4)班</t>
  </si>
  <si>
    <t>高二（5)班</t>
  </si>
  <si>
    <t>高二（6)班</t>
  </si>
  <si>
    <t>高二（7)班</t>
  </si>
  <si>
    <t>高二（8)班</t>
  </si>
  <si>
    <t>高二（9)班</t>
  </si>
  <si>
    <t>高二（10)班</t>
  </si>
  <si>
    <t>高二（11)班</t>
  </si>
  <si>
    <t xml:space="preserve">     星 期
节 次</t>
  </si>
  <si>
    <t xml:space="preserve"> </t>
  </si>
  <si>
    <t>正课</t>
  </si>
  <si>
    <t>晚自习</t>
  </si>
  <si>
    <t>晚前三</t>
  </si>
  <si>
    <t>晚四</t>
  </si>
  <si>
    <t>合计</t>
  </si>
  <si>
    <t>见
考
试
期
间
晚
自
习
安
排
表</t>
  </si>
  <si>
    <t>101/104（英）</t>
  </si>
  <si>
    <t>102/103（英）</t>
  </si>
  <si>
    <t>101/104（俄）</t>
  </si>
  <si>
    <t>102/103（俄）</t>
  </si>
  <si>
    <t>7/9/10/11（俄）</t>
  </si>
  <si>
    <t>8/9/10/11（俄）</t>
  </si>
  <si>
    <t>208/209（英）</t>
  </si>
  <si>
    <t>208/210（英）</t>
  </si>
  <si>
    <t>208/211（英）</t>
  </si>
  <si>
    <t>高一各班级正课课时统计表</t>
  </si>
  <si>
    <t>学科</t>
  </si>
  <si>
    <t>全校各班早读课时统计表</t>
  </si>
  <si>
    <t>道法</t>
  </si>
  <si>
    <t>科学</t>
  </si>
  <si>
    <t>全校各班级晚自习课时统计表</t>
  </si>
  <si>
    <t>听力+班会</t>
  </si>
  <si>
    <t>全校各年级周课时计划表</t>
  </si>
  <si>
    <t>高一年级</t>
  </si>
  <si>
    <t>三年级</t>
  </si>
  <si>
    <t>四年级</t>
  </si>
  <si>
    <t>五年级</t>
  </si>
  <si>
    <t>六年级</t>
  </si>
  <si>
    <t>七年级</t>
  </si>
  <si>
    <t>八年级</t>
  </si>
  <si>
    <t>九年级</t>
  </si>
  <si>
    <t>二课堂</t>
  </si>
  <si>
    <t>一年级</t>
  </si>
  <si>
    <t>二年级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</si>
</sst>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name val="宋体"/>
      <charset val="134"/>
    </font>
    <font>
      <b/>
      <sz val="18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name val="宋体"/>
      <family val="3"/>
      <charset val="134"/>
    </font>
    <font>
      <sz val="8"/>
      <name val="宋体"/>
      <family val="3"/>
      <charset val="134"/>
    </font>
    <font>
      <b/>
      <sz val="36"/>
      <name val="宋体"/>
      <family val="3"/>
      <charset val="134"/>
    </font>
    <font>
      <sz val="14"/>
      <name val="宋体"/>
      <family val="3"/>
      <charset val="134"/>
    </font>
    <font>
      <b/>
      <sz val="16"/>
      <name val="宋体"/>
      <family val="3"/>
      <charset val="134"/>
    </font>
    <font>
      <b/>
      <sz val="12"/>
      <name val="宋体"/>
      <family val="3"/>
      <charset val="134"/>
    </font>
    <font>
      <b/>
      <sz val="9"/>
      <name val="宋体"/>
      <family val="3"/>
      <charset val="134"/>
    </font>
    <font>
      <b/>
      <sz val="14"/>
      <name val="宋体"/>
      <family val="3"/>
      <charset val="134"/>
    </font>
    <font>
      <sz val="10"/>
      <name val="楷体"/>
      <family val="3"/>
      <charset val="134"/>
    </font>
    <font>
      <b/>
      <sz val="11"/>
      <name val="宋体"/>
      <family val="3"/>
      <charset val="134"/>
    </font>
    <font>
      <b/>
      <sz val="28"/>
      <name val="宋体"/>
      <family val="3"/>
      <charset val="134"/>
    </font>
    <font>
      <sz val="9"/>
      <name val="楷体"/>
      <family val="3"/>
      <charset val="134"/>
    </font>
    <font>
      <sz val="10"/>
      <name val="宋体"/>
      <family val="3"/>
      <charset val="134"/>
      <scheme val="minor"/>
    </font>
    <font>
      <sz val="9"/>
      <name val="宋体"/>
      <family val="3"/>
      <charset val="134"/>
    </font>
    <font>
      <sz val="8"/>
      <name val="楷体"/>
      <family val="3"/>
      <charset val="134"/>
    </font>
    <font>
      <sz val="6"/>
      <name val="楷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thin">
        <color theme="1"/>
      </top>
      <bottom style="thin">
        <color auto="1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theme="0"/>
      </bottom>
      <diagonal/>
    </border>
    <border>
      <left/>
      <right style="thin">
        <color auto="1"/>
      </right>
      <top style="thin">
        <color auto="1"/>
      </top>
      <bottom style="thin">
        <color theme="0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theme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theme="0"/>
      </top>
      <bottom style="thin">
        <color auto="1"/>
      </bottom>
      <diagonal/>
    </border>
    <border>
      <left/>
      <right style="thin">
        <color auto="1"/>
      </right>
      <top style="thin">
        <color theme="0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theme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theme="1"/>
      </bottom>
      <diagonal/>
    </border>
    <border>
      <left/>
      <right style="thin">
        <color auto="1"/>
      </right>
      <top style="thin">
        <color theme="0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theme="0"/>
      </top>
      <bottom style="double">
        <color auto="1"/>
      </bottom>
      <diagonal/>
    </border>
    <border>
      <left style="medium">
        <color auto="1"/>
      </left>
      <right/>
      <top style="double">
        <color theme="1"/>
      </top>
      <bottom/>
      <diagonal/>
    </border>
    <border>
      <left style="thin">
        <color auto="1"/>
      </left>
      <right style="double">
        <color auto="1"/>
      </right>
      <top style="double">
        <color theme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 style="medium">
        <color auto="1"/>
      </right>
      <top/>
      <bottom style="thin">
        <color theme="0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theme="1"/>
      </left>
      <right style="double">
        <color auto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double">
        <color auto="1"/>
      </right>
      <top style="thin">
        <color auto="1"/>
      </top>
      <bottom style="thin">
        <color theme="1"/>
      </bottom>
      <diagonal/>
    </border>
    <border>
      <left/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theme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theme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theme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theme="0"/>
      </top>
      <bottom style="medium">
        <color auto="1"/>
      </bottom>
      <diagonal/>
    </border>
    <border>
      <left/>
      <right style="thin">
        <color auto="1"/>
      </right>
      <top style="thin">
        <color theme="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theme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theme="1"/>
      </bottom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/>
      <diagonal/>
    </border>
    <border>
      <left/>
      <right style="thin">
        <color auto="1"/>
      </right>
      <top style="thin">
        <color auto="1"/>
      </top>
      <bottom style="thin">
        <color indexed="9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indexed="9"/>
      </bottom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9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indexed="9"/>
      </top>
      <bottom style="thin">
        <color auto="1"/>
      </bottom>
      <diagonal/>
    </border>
    <border>
      <left style="thin">
        <color auto="1"/>
      </left>
      <right style="thin">
        <color theme="1"/>
      </right>
      <top/>
      <bottom/>
      <diagonal/>
    </border>
    <border>
      <left style="thin">
        <color auto="1"/>
      </left>
      <right style="thin">
        <color theme="1"/>
      </right>
      <top/>
      <bottom style="double">
        <color theme="1"/>
      </bottom>
      <diagonal/>
    </border>
    <border>
      <left/>
      <right style="thin">
        <color auto="1"/>
      </right>
      <top style="thin">
        <color indexed="9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indexed="9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theme="1"/>
      </top>
      <bottom/>
      <diagonal/>
    </border>
    <border>
      <left style="thin">
        <color auto="1"/>
      </left>
      <right style="thin">
        <color theme="1"/>
      </right>
      <top style="double">
        <color theme="1"/>
      </top>
      <bottom/>
      <diagonal/>
    </border>
    <border>
      <left/>
      <right style="thin">
        <color auto="1"/>
      </right>
      <top style="double">
        <color auto="1"/>
      </top>
      <bottom style="thin">
        <color indexed="9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indexed="9"/>
      </bottom>
      <diagonal/>
    </border>
    <border>
      <left style="thin">
        <color auto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double">
        <color auto="1"/>
      </right>
      <top style="thin">
        <color theme="1"/>
      </top>
      <bottom/>
      <diagonal/>
    </border>
    <border>
      <left/>
      <right style="double">
        <color auto="1"/>
      </right>
      <top style="thin">
        <color theme="1"/>
      </top>
      <bottom style="thin">
        <color auto="1"/>
      </bottom>
      <diagonal/>
    </border>
    <border>
      <left/>
      <right style="medium">
        <color auto="1"/>
      </right>
      <top/>
      <bottom style="thin">
        <color theme="0"/>
      </bottom>
      <diagonal/>
    </border>
    <border>
      <left style="thin">
        <color auto="1"/>
      </left>
      <right style="double">
        <color auto="1"/>
      </right>
      <top/>
      <bottom style="thin">
        <color theme="1"/>
      </bottom>
      <diagonal/>
    </border>
    <border>
      <left/>
      <right style="double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 style="thin">
        <color indexed="9"/>
      </bottom>
      <diagonal/>
    </border>
    <border>
      <left/>
      <right style="thin">
        <color auto="1"/>
      </right>
      <top style="thin">
        <color indexed="9"/>
      </top>
      <bottom/>
      <diagonal/>
    </border>
    <border>
      <left style="thin">
        <color auto="1"/>
      </left>
      <right style="medium">
        <color auto="1"/>
      </right>
      <top style="thin">
        <color indexed="9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indexed="9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indexed="9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Border="0"/>
  </cellStyleXfs>
  <cellXfs count="255">
    <xf numFmtId="0" fontId="0" fillId="0" borderId="0" xfId="0"/>
    <xf numFmtId="0" fontId="2" fillId="0" borderId="2" xfId="0" applyFont="1" applyBorder="1" applyAlignment="1" applyProtection="1">
      <alignment horizontal="center" vertical="center"/>
      <protection hidden="1"/>
    </xf>
    <xf numFmtId="0" fontId="2" fillId="2" borderId="2" xfId="0" applyFont="1" applyFill="1" applyBorder="1" applyAlignment="1" applyProtection="1">
      <alignment horizontal="center" vertical="center"/>
      <protection hidden="1"/>
    </xf>
    <xf numFmtId="0" fontId="0" fillId="2" borderId="2" xfId="0" applyFill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4" fillId="2" borderId="2" xfId="0" applyFont="1" applyFill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7" fillId="0" borderId="5" xfId="0" applyFont="1" applyBorder="1" applyAlignment="1" applyProtection="1">
      <alignment horizontal="center" vertical="center" wrapText="1"/>
      <protection hidden="1"/>
    </xf>
    <xf numFmtId="0" fontId="8" fillId="0" borderId="6" xfId="0" applyFont="1" applyBorder="1" applyAlignment="1" applyProtection="1">
      <alignment horizontal="center" vertical="center" wrapText="1"/>
      <protection hidden="1"/>
    </xf>
    <xf numFmtId="0" fontId="8" fillId="0" borderId="7" xfId="0" applyFont="1" applyBorder="1" applyAlignment="1" applyProtection="1">
      <alignment horizontal="center" vertical="center" wrapText="1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11" fillId="0" borderId="12" xfId="0" applyFont="1" applyBorder="1" applyAlignment="1" applyProtection="1">
      <alignment horizontal="center" shrinkToFit="1"/>
      <protection hidden="1"/>
    </xf>
    <xf numFmtId="0" fontId="11" fillId="0" borderId="13" xfId="0" applyFont="1" applyBorder="1" applyAlignment="1" applyProtection="1">
      <alignment horizontal="center" shrinkToFit="1"/>
      <protection hidden="1"/>
    </xf>
    <xf numFmtId="0" fontId="11" fillId="0" borderId="14" xfId="0" applyFont="1" applyBorder="1" applyAlignment="1" applyProtection="1">
      <alignment horizontal="center" shrinkToFit="1"/>
      <protection hidden="1"/>
    </xf>
    <xf numFmtId="0" fontId="11" fillId="0" borderId="15" xfId="0" applyFont="1" applyBorder="1" applyAlignment="1" applyProtection="1">
      <alignment horizontal="center" shrinkToFit="1"/>
      <protection hidden="1"/>
    </xf>
    <xf numFmtId="0" fontId="12" fillId="0" borderId="19" xfId="0" applyFont="1" applyBorder="1" applyAlignment="1" applyProtection="1">
      <alignment horizontal="center" vertical="top" wrapText="1"/>
      <protection hidden="1"/>
    </xf>
    <xf numFmtId="0" fontId="12" fillId="0" borderId="20" xfId="0" applyFont="1" applyBorder="1" applyAlignment="1" applyProtection="1">
      <alignment horizontal="center" vertical="top" wrapText="1"/>
      <protection hidden="1"/>
    </xf>
    <xf numFmtId="0" fontId="12" fillId="0" borderId="21" xfId="0" applyFont="1" applyBorder="1" applyAlignment="1" applyProtection="1">
      <alignment horizontal="center" vertical="top" wrapText="1"/>
      <protection hidden="1"/>
    </xf>
    <xf numFmtId="0" fontId="12" fillId="0" borderId="22" xfId="0" applyFont="1" applyBorder="1" applyAlignment="1" applyProtection="1">
      <alignment horizontal="center" vertical="top" wrapText="1"/>
      <protection hidden="1"/>
    </xf>
    <xf numFmtId="0" fontId="12" fillId="0" borderId="26" xfId="0" applyFont="1" applyBorder="1" applyAlignment="1" applyProtection="1">
      <alignment horizontal="center" vertical="top" wrapText="1"/>
      <protection hidden="1"/>
    </xf>
    <xf numFmtId="0" fontId="12" fillId="0" borderId="27" xfId="0" applyFont="1" applyBorder="1" applyAlignment="1" applyProtection="1">
      <alignment horizontal="center" vertical="top" wrapText="1"/>
      <protection hidden="1"/>
    </xf>
    <xf numFmtId="0" fontId="12" fillId="0" borderId="28" xfId="0" applyFont="1" applyBorder="1" applyAlignment="1" applyProtection="1">
      <alignment horizontal="center" vertical="top" wrapText="1"/>
      <protection hidden="1"/>
    </xf>
    <xf numFmtId="0" fontId="11" fillId="0" borderId="32" xfId="0" applyFont="1" applyBorder="1" applyAlignment="1" applyProtection="1">
      <alignment horizontal="center" shrinkToFit="1"/>
      <protection hidden="1"/>
    </xf>
    <xf numFmtId="0" fontId="11" fillId="0" borderId="33" xfId="0" applyFont="1" applyBorder="1" applyAlignment="1" applyProtection="1">
      <alignment horizontal="center" shrinkToFit="1"/>
      <protection hidden="1"/>
    </xf>
    <xf numFmtId="0" fontId="12" fillId="0" borderId="36" xfId="0" applyFont="1" applyBorder="1" applyAlignment="1" applyProtection="1">
      <alignment horizontal="center" vertical="top" wrapText="1"/>
      <protection hidden="1"/>
    </xf>
    <xf numFmtId="0" fontId="12" fillId="0" borderId="37" xfId="0" applyFont="1" applyBorder="1" applyAlignment="1" applyProtection="1">
      <alignment horizontal="center" vertical="top" wrapText="1"/>
      <protection hidden="1"/>
    </xf>
    <xf numFmtId="0" fontId="12" fillId="0" borderId="40" xfId="0" applyFont="1" applyBorder="1" applyAlignment="1" applyProtection="1">
      <alignment horizontal="center" vertical="top" wrapText="1"/>
      <protection hidden="1"/>
    </xf>
    <xf numFmtId="0" fontId="12" fillId="0" borderId="41" xfId="0" applyFont="1" applyBorder="1" applyAlignment="1" applyProtection="1">
      <alignment horizontal="center" vertical="top" wrapText="1"/>
      <protection hidden="1"/>
    </xf>
    <xf numFmtId="0" fontId="12" fillId="0" borderId="42" xfId="0" applyFont="1" applyBorder="1" applyAlignment="1" applyProtection="1">
      <alignment horizontal="center" vertical="top" wrapText="1"/>
      <protection hidden="1"/>
    </xf>
    <xf numFmtId="0" fontId="12" fillId="0" borderId="43" xfId="0" applyFont="1" applyBorder="1" applyAlignment="1" applyProtection="1">
      <alignment horizontal="center" vertical="top" wrapText="1"/>
      <protection hidden="1"/>
    </xf>
    <xf numFmtId="0" fontId="12" fillId="0" borderId="44" xfId="0" applyFont="1" applyBorder="1" applyAlignment="1" applyProtection="1">
      <alignment horizontal="center" vertical="top" wrapText="1"/>
      <protection hidden="1"/>
    </xf>
    <xf numFmtId="0" fontId="0" fillId="0" borderId="0" xfId="0" applyBorder="1" applyProtection="1">
      <protection hidden="1"/>
    </xf>
    <xf numFmtId="0" fontId="0" fillId="0" borderId="34" xfId="0" applyBorder="1" applyProtection="1">
      <protection hidden="1"/>
    </xf>
    <xf numFmtId="0" fontId="11" fillId="0" borderId="0" xfId="0" applyFont="1" applyBorder="1" applyAlignment="1" applyProtection="1">
      <alignment horizontal="center" shrinkToFit="1"/>
      <protection hidden="1"/>
    </xf>
    <xf numFmtId="0" fontId="12" fillId="0" borderId="0" xfId="0" applyFont="1" applyBorder="1" applyAlignment="1" applyProtection="1">
      <alignment horizontal="center" vertical="top" wrapText="1"/>
      <protection hidden="1"/>
    </xf>
    <xf numFmtId="0" fontId="12" fillId="0" borderId="55" xfId="0" applyFont="1" applyBorder="1" applyAlignment="1" applyProtection="1">
      <alignment horizontal="center" vertical="top" wrapText="1"/>
      <protection hidden="1"/>
    </xf>
    <xf numFmtId="0" fontId="12" fillId="0" borderId="56" xfId="0" applyFont="1" applyBorder="1" applyAlignment="1" applyProtection="1">
      <alignment horizontal="center" vertical="top" wrapText="1"/>
      <protection hidden="1"/>
    </xf>
    <xf numFmtId="0" fontId="12" fillId="0" borderId="57" xfId="0" applyFont="1" applyBorder="1" applyAlignment="1" applyProtection="1">
      <alignment horizontal="center" vertical="top" wrapText="1"/>
      <protection hidden="1"/>
    </xf>
    <xf numFmtId="0" fontId="11" fillId="3" borderId="12" xfId="0" applyFont="1" applyFill="1" applyBorder="1" applyAlignment="1" applyProtection="1">
      <alignment horizontal="center" shrinkToFit="1"/>
      <protection hidden="1"/>
    </xf>
    <xf numFmtId="0" fontId="12" fillId="3" borderId="19" xfId="0" applyFont="1" applyFill="1" applyBorder="1" applyAlignment="1" applyProtection="1">
      <alignment horizontal="center" vertical="top" wrapText="1"/>
      <protection hidden="1"/>
    </xf>
    <xf numFmtId="0" fontId="9" fillId="0" borderId="33" xfId="0" applyFont="1" applyBorder="1" applyAlignment="1" applyProtection="1">
      <alignment horizontal="center" shrinkToFit="1"/>
      <protection hidden="1"/>
    </xf>
    <xf numFmtId="0" fontId="12" fillId="3" borderId="55" xfId="0" applyFont="1" applyFill="1" applyBorder="1" applyAlignment="1" applyProtection="1">
      <alignment horizontal="center" vertical="top" wrapText="1"/>
      <protection hidden="1"/>
    </xf>
    <xf numFmtId="0" fontId="11" fillId="3" borderId="33" xfId="0" applyFont="1" applyFill="1" applyBorder="1" applyAlignment="1" applyProtection="1">
      <alignment horizontal="center" shrinkToFit="1"/>
      <protection hidden="1"/>
    </xf>
    <xf numFmtId="0" fontId="12" fillId="3" borderId="37" xfId="0" applyFont="1" applyFill="1" applyBorder="1" applyAlignment="1" applyProtection="1">
      <alignment horizontal="center" vertical="top" wrapText="1"/>
      <protection hidden="1"/>
    </xf>
    <xf numFmtId="0" fontId="11" fillId="3" borderId="14" xfId="0" applyFont="1" applyFill="1" applyBorder="1" applyAlignment="1" applyProtection="1">
      <alignment horizontal="center" shrinkToFit="1"/>
      <protection hidden="1"/>
    </xf>
    <xf numFmtId="0" fontId="12" fillId="0" borderId="70" xfId="0" applyFont="1" applyBorder="1" applyAlignment="1" applyProtection="1">
      <alignment horizontal="center" vertical="top" wrapText="1"/>
      <protection hidden="1"/>
    </xf>
    <xf numFmtId="0" fontId="12" fillId="0" borderId="71" xfId="0" applyFont="1" applyBorder="1" applyAlignment="1" applyProtection="1">
      <alignment horizontal="center" vertical="top" wrapText="1"/>
      <protection hidden="1"/>
    </xf>
    <xf numFmtId="0" fontId="12" fillId="0" borderId="72" xfId="0" applyFont="1" applyBorder="1" applyAlignment="1" applyProtection="1">
      <alignment horizontal="center" vertical="top" wrapText="1"/>
      <protection hidden="1"/>
    </xf>
    <xf numFmtId="0" fontId="12" fillId="0" borderId="73" xfId="0" applyFont="1" applyBorder="1" applyAlignment="1" applyProtection="1">
      <alignment horizontal="center" vertical="top" wrapText="1"/>
      <protection hidden="1"/>
    </xf>
    <xf numFmtId="0" fontId="12" fillId="0" borderId="74" xfId="0" applyFont="1" applyBorder="1" applyAlignment="1" applyProtection="1">
      <alignment horizontal="center" vertical="top" wrapText="1"/>
      <protection hidden="1"/>
    </xf>
    <xf numFmtId="0" fontId="12" fillId="3" borderId="75" xfId="0" applyFont="1" applyFill="1" applyBorder="1" applyAlignment="1" applyProtection="1">
      <alignment horizontal="center" vertical="top" wrapText="1"/>
      <protection hidden="1"/>
    </xf>
    <xf numFmtId="0" fontId="12" fillId="0" borderId="75" xfId="0" applyFont="1" applyBorder="1" applyAlignment="1" applyProtection="1">
      <alignment horizontal="center" vertical="top" wrapText="1"/>
      <protection hidden="1"/>
    </xf>
    <xf numFmtId="0" fontId="0" fillId="0" borderId="2" xfId="0" applyBorder="1" applyAlignment="1" applyProtection="1">
      <alignment horizontal="center" vertical="center" wrapText="1"/>
      <protection hidden="1"/>
    </xf>
    <xf numFmtId="0" fontId="2" fillId="0" borderId="0" xfId="0" applyFont="1" applyProtection="1">
      <protection hidden="1"/>
    </xf>
    <xf numFmtId="0" fontId="2" fillId="0" borderId="0" xfId="0" applyFont="1" applyBorder="1" applyProtection="1">
      <protection hidden="1"/>
    </xf>
    <xf numFmtId="0" fontId="2" fillId="0" borderId="0" xfId="0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 vertical="center"/>
      <protection locked="0" hidden="1"/>
    </xf>
    <xf numFmtId="0" fontId="11" fillId="0" borderId="78" xfId="0" applyFont="1" applyBorder="1" applyAlignment="1" applyProtection="1">
      <alignment horizontal="center" vertical="center" wrapText="1"/>
      <protection hidden="1"/>
    </xf>
    <xf numFmtId="0" fontId="8" fillId="0" borderId="79" xfId="0" applyFont="1" applyBorder="1" applyAlignment="1" applyProtection="1">
      <alignment horizontal="center" vertical="center" wrapText="1"/>
      <protection hidden="1"/>
    </xf>
    <xf numFmtId="0" fontId="8" fillId="0" borderId="80" xfId="0" applyFont="1" applyBorder="1" applyAlignment="1" applyProtection="1">
      <alignment horizontal="center" vertical="center" wrapText="1"/>
      <protection hidden="1"/>
    </xf>
    <xf numFmtId="0" fontId="8" fillId="0" borderId="76" xfId="0" applyFont="1" applyBorder="1" applyAlignment="1" applyProtection="1">
      <alignment horizontal="center" vertical="center" wrapText="1"/>
      <protection hidden="1"/>
    </xf>
    <xf numFmtId="0" fontId="9" fillId="0" borderId="82" xfId="0" applyFont="1" applyBorder="1" applyAlignment="1" applyProtection="1">
      <alignment horizontal="center" shrinkToFit="1"/>
      <protection hidden="1"/>
    </xf>
    <xf numFmtId="0" fontId="9" fillId="0" borderId="83" xfId="0" applyFont="1" applyBorder="1" applyAlignment="1" applyProtection="1">
      <alignment horizontal="center" shrinkToFit="1"/>
      <protection hidden="1"/>
    </xf>
    <xf numFmtId="0" fontId="9" fillId="0" borderId="84" xfId="0" applyFont="1" applyBorder="1" applyAlignment="1" applyProtection="1">
      <alignment horizontal="center" shrinkToFit="1"/>
      <protection hidden="1"/>
    </xf>
    <xf numFmtId="0" fontId="9" fillId="0" borderId="85" xfId="0" applyFont="1" applyBorder="1" applyAlignment="1" applyProtection="1">
      <alignment horizontal="center" shrinkToFit="1"/>
      <protection hidden="1"/>
    </xf>
    <xf numFmtId="0" fontId="9" fillId="0" borderId="86" xfId="0" applyFont="1" applyBorder="1" applyAlignment="1" applyProtection="1">
      <alignment horizontal="center" shrinkToFit="1"/>
      <protection hidden="1"/>
    </xf>
    <xf numFmtId="0" fontId="9" fillId="0" borderId="87" xfId="0" applyFont="1" applyBorder="1" applyAlignment="1" applyProtection="1">
      <alignment horizontal="center" shrinkToFit="1"/>
      <protection hidden="1"/>
    </xf>
    <xf numFmtId="0" fontId="15" fillId="0" borderId="19" xfId="0" applyFont="1" applyBorder="1" applyAlignment="1" applyProtection="1">
      <alignment horizontal="center" vertical="top" wrapText="1"/>
      <protection hidden="1"/>
    </xf>
    <xf numFmtId="0" fontId="15" fillId="0" borderId="89" xfId="0" applyFont="1" applyBorder="1" applyAlignment="1" applyProtection="1">
      <alignment horizontal="center" vertical="top" wrapText="1"/>
      <protection hidden="1"/>
    </xf>
    <xf numFmtId="0" fontId="15" fillId="0" borderId="90" xfId="0" applyFont="1" applyBorder="1" applyAlignment="1" applyProtection="1">
      <alignment horizontal="center" vertical="top" wrapText="1"/>
      <protection hidden="1"/>
    </xf>
    <xf numFmtId="0" fontId="15" fillId="0" borderId="64" xfId="0" applyFont="1" applyBorder="1" applyAlignment="1" applyProtection="1">
      <alignment horizontal="center" vertical="top" wrapText="1"/>
      <protection hidden="1"/>
    </xf>
    <xf numFmtId="0" fontId="15" fillId="0" borderId="44" xfId="0" applyFont="1" applyBorder="1" applyAlignment="1" applyProtection="1">
      <alignment horizontal="center" vertical="top" wrapText="1"/>
      <protection hidden="1"/>
    </xf>
    <xf numFmtId="0" fontId="15" fillId="0" borderId="93" xfId="0" applyFont="1" applyBorder="1" applyAlignment="1" applyProtection="1">
      <alignment horizontal="center" vertical="top" wrapText="1"/>
      <protection hidden="1"/>
    </xf>
    <xf numFmtId="0" fontId="15" fillId="0" borderId="94" xfId="0" applyFont="1" applyBorder="1" applyAlignment="1" applyProtection="1">
      <alignment horizontal="center" vertical="top" wrapText="1"/>
      <protection hidden="1"/>
    </xf>
    <xf numFmtId="0" fontId="15" fillId="0" borderId="95" xfId="0" applyFont="1" applyBorder="1" applyAlignment="1" applyProtection="1">
      <alignment horizontal="center" vertical="top" wrapText="1"/>
      <protection hidden="1"/>
    </xf>
    <xf numFmtId="0" fontId="9" fillId="0" borderId="98" xfId="0" applyFont="1" applyBorder="1" applyAlignment="1" applyProtection="1">
      <alignment horizontal="center" shrinkToFit="1"/>
      <protection hidden="1"/>
    </xf>
    <xf numFmtId="0" fontId="9" fillId="0" borderId="99" xfId="0" applyFont="1" applyBorder="1" applyAlignment="1" applyProtection="1">
      <alignment horizontal="center" shrinkToFit="1"/>
      <protection hidden="1"/>
    </xf>
    <xf numFmtId="0" fontId="9" fillId="0" borderId="42" xfId="0" applyFont="1" applyBorder="1" applyAlignment="1" applyProtection="1">
      <alignment horizontal="center" shrinkToFit="1"/>
      <protection hidden="1"/>
    </xf>
    <xf numFmtId="0" fontId="9" fillId="0" borderId="44" xfId="0" applyFont="1" applyBorder="1" applyAlignment="1" applyProtection="1">
      <alignment horizontal="center" shrinkToFit="1"/>
      <protection hidden="1"/>
    </xf>
    <xf numFmtId="0" fontId="9" fillId="0" borderId="43" xfId="0" applyFont="1" applyBorder="1" applyAlignment="1" applyProtection="1">
      <alignment horizontal="center" shrinkToFit="1"/>
      <protection hidden="1"/>
    </xf>
    <xf numFmtId="0" fontId="9" fillId="0" borderId="100" xfId="0" applyFont="1" applyBorder="1" applyAlignment="1" applyProtection="1">
      <alignment horizontal="center" shrinkToFit="1"/>
      <protection hidden="1"/>
    </xf>
    <xf numFmtId="0" fontId="15" fillId="0" borderId="0" xfId="0" applyFont="1" applyBorder="1" applyAlignment="1" applyProtection="1">
      <alignment horizontal="center" vertical="top" wrapText="1"/>
      <protection hidden="1"/>
    </xf>
    <xf numFmtId="0" fontId="9" fillId="0" borderId="113" xfId="0" applyFont="1" applyBorder="1" applyAlignment="1" applyProtection="1">
      <alignment horizontal="center" shrinkToFit="1"/>
      <protection hidden="1"/>
    </xf>
    <xf numFmtId="0" fontId="15" fillId="0" borderId="114" xfId="0" applyFont="1" applyBorder="1" applyAlignment="1" applyProtection="1">
      <alignment horizontal="center" vertical="top" wrapText="1"/>
      <protection hidden="1"/>
    </xf>
    <xf numFmtId="0" fontId="15" fillId="0" borderId="115" xfId="0" applyFont="1" applyBorder="1" applyAlignment="1" applyProtection="1">
      <alignment horizontal="center" vertical="top" wrapText="1"/>
      <protection hidden="1"/>
    </xf>
    <xf numFmtId="0" fontId="15" fillId="0" borderId="16" xfId="0" applyFont="1" applyBorder="1" applyAlignment="1" applyProtection="1">
      <alignment horizontal="center" vertical="top" wrapText="1"/>
      <protection hidden="1"/>
    </xf>
    <xf numFmtId="0" fontId="9" fillId="0" borderId="116" xfId="0" applyFont="1" applyBorder="1" applyAlignment="1" applyProtection="1">
      <alignment horizontal="center" shrinkToFit="1"/>
      <protection hidden="1"/>
    </xf>
    <xf numFmtId="0" fontId="9" fillId="0" borderId="117" xfId="0" applyFont="1" applyBorder="1" applyAlignment="1" applyProtection="1">
      <alignment horizontal="center" shrinkToFit="1"/>
      <protection hidden="1"/>
    </xf>
    <xf numFmtId="0" fontId="9" fillId="0" borderId="118" xfId="0" applyFont="1" applyBorder="1" applyAlignment="1" applyProtection="1">
      <alignment horizontal="center" shrinkToFit="1"/>
      <protection hidden="1"/>
    </xf>
    <xf numFmtId="0" fontId="9" fillId="0" borderId="119" xfId="0" applyFont="1" applyBorder="1" applyAlignment="1" applyProtection="1">
      <alignment horizontal="center" shrinkToFit="1"/>
      <protection hidden="1"/>
    </xf>
    <xf numFmtId="0" fontId="9" fillId="0" borderId="120" xfId="0" applyFont="1" applyBorder="1" applyAlignment="1" applyProtection="1">
      <alignment horizontal="center" shrinkToFit="1"/>
      <protection hidden="1"/>
    </xf>
    <xf numFmtId="0" fontId="7" fillId="0" borderId="0" xfId="0" applyFont="1" applyAlignment="1" applyProtection="1">
      <alignment vertical="center"/>
      <protection hidden="1"/>
    </xf>
    <xf numFmtId="0" fontId="15" fillId="0" borderId="55" xfId="0" applyFont="1" applyBorder="1" applyAlignment="1" applyProtection="1">
      <alignment horizontal="center" vertical="top" wrapText="1"/>
      <protection hidden="1"/>
    </xf>
    <xf numFmtId="0" fontId="15" fillId="0" borderId="70" xfId="0" applyFont="1" applyBorder="1" applyAlignment="1" applyProtection="1">
      <alignment horizontal="center" vertical="top" wrapText="1"/>
      <protection hidden="1"/>
    </xf>
    <xf numFmtId="0" fontId="15" fillId="0" borderId="124" xfId="0" applyFont="1" applyBorder="1" applyAlignment="1" applyProtection="1">
      <alignment horizontal="center" vertical="top" wrapText="1"/>
      <protection hidden="1"/>
    </xf>
    <xf numFmtId="0" fontId="15" fillId="0" borderId="125" xfId="0" applyFont="1" applyBorder="1" applyAlignment="1" applyProtection="1">
      <alignment horizontal="center" vertical="top" wrapText="1"/>
      <protection hidden="1"/>
    </xf>
    <xf numFmtId="0" fontId="15" fillId="0" borderId="122" xfId="0" applyFont="1" applyBorder="1" applyAlignment="1" applyProtection="1">
      <alignment horizontal="center" vertical="top" wrapText="1"/>
      <protection hidden="1"/>
    </xf>
    <xf numFmtId="0" fontId="2" fillId="0" borderId="2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2" fillId="0" borderId="7" xfId="0" applyFont="1" applyBorder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center"/>
      <protection hidden="1"/>
    </xf>
    <xf numFmtId="0" fontId="2" fillId="3" borderId="2" xfId="0" applyFont="1" applyFill="1" applyBorder="1" applyAlignment="1" applyProtection="1">
      <alignment horizontal="center" vertical="center"/>
      <protection hidden="1"/>
    </xf>
    <xf numFmtId="0" fontId="2" fillId="0" borderId="36" xfId="0" applyFont="1" applyBorder="1" applyAlignment="1" applyProtection="1">
      <alignment horizontal="center"/>
      <protection hidden="1"/>
    </xf>
    <xf numFmtId="0" fontId="2" fillId="4" borderId="2" xfId="0" applyFont="1" applyFill="1" applyBorder="1" applyAlignment="1">
      <alignment horizontal="center" vertical="center" wrapText="1"/>
    </xf>
    <xf numFmtId="0" fontId="2" fillId="3" borderId="0" xfId="0" applyFont="1" applyFill="1" applyBorder="1" applyProtection="1">
      <protection hidden="1"/>
    </xf>
    <xf numFmtId="0" fontId="2" fillId="3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/>
    </xf>
    <xf numFmtId="0" fontId="0" fillId="0" borderId="2" xfId="0" applyBorder="1" applyProtection="1">
      <protection hidden="1"/>
    </xf>
    <xf numFmtId="0" fontId="0" fillId="0" borderId="2" xfId="0" applyBorder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7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wrapText="1"/>
      <protection hidden="1"/>
    </xf>
    <xf numFmtId="0" fontId="18" fillId="0" borderId="0" xfId="0" applyFont="1" applyAlignment="1" applyProtection="1">
      <alignment horizontal="center" vertical="top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17" fillId="0" borderId="36" xfId="0" applyFont="1" applyBorder="1" applyAlignment="1" applyProtection="1">
      <alignment horizontal="center" vertical="center" wrapText="1"/>
      <protection hidden="1"/>
    </xf>
    <xf numFmtId="0" fontId="17" fillId="0" borderId="2" xfId="0" applyFont="1" applyBorder="1" applyAlignment="1" applyProtection="1">
      <alignment horizontal="center" vertical="center" wrapText="1"/>
      <protection hidden="1"/>
    </xf>
    <xf numFmtId="0" fontId="2" fillId="0" borderId="15" xfId="0" applyFont="1" applyBorder="1" applyAlignment="1" applyProtection="1">
      <alignment horizontal="center" shrinkToFit="1"/>
      <protection locked="0" hidden="1"/>
    </xf>
    <xf numFmtId="0" fontId="2" fillId="6" borderId="15" xfId="0" applyFont="1" applyFill="1" applyBorder="1" applyAlignment="1" applyProtection="1">
      <alignment horizontal="center" shrinkToFit="1"/>
      <protection locked="0" hidden="1"/>
    </xf>
    <xf numFmtId="0" fontId="19" fillId="0" borderId="19" xfId="0" applyFont="1" applyBorder="1" applyAlignment="1" applyProtection="1">
      <alignment horizontal="center" vertical="center" shrinkToFit="1"/>
      <protection hidden="1"/>
    </xf>
    <xf numFmtId="0" fontId="19" fillId="6" borderId="19" xfId="0" applyFont="1" applyFill="1" applyBorder="1" applyAlignment="1" applyProtection="1">
      <alignment horizontal="center" vertical="center" shrinkToFit="1"/>
      <protection hidden="1"/>
    </xf>
    <xf numFmtId="0" fontId="19" fillId="0" borderId="19" xfId="0" applyFont="1" applyBorder="1" applyAlignment="1" applyProtection="1">
      <alignment horizontal="center" vertical="top" shrinkToFit="1"/>
      <protection hidden="1"/>
    </xf>
    <xf numFmtId="0" fontId="19" fillId="6" borderId="19" xfId="0" applyFont="1" applyFill="1" applyBorder="1" applyAlignment="1" applyProtection="1">
      <alignment horizontal="center" vertical="top" shrinkToFit="1"/>
      <protection hidden="1"/>
    </xf>
    <xf numFmtId="0" fontId="19" fillId="0" borderId="20" xfId="0" applyFont="1" applyBorder="1" applyAlignment="1" applyProtection="1">
      <alignment horizontal="center" vertical="top" shrinkToFit="1"/>
      <protection hidden="1"/>
    </xf>
    <xf numFmtId="0" fontId="19" fillId="0" borderId="44" xfId="0" applyFont="1" applyBorder="1" applyAlignment="1" applyProtection="1">
      <alignment horizontal="center" vertical="top" shrinkToFit="1"/>
      <protection hidden="1"/>
    </xf>
    <xf numFmtId="0" fontId="19" fillId="6" borderId="44" xfId="0" applyFont="1" applyFill="1" applyBorder="1" applyAlignment="1" applyProtection="1">
      <alignment horizontal="center" vertical="top" shrinkToFit="1"/>
      <protection hidden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7" fillId="5" borderId="2" xfId="0" applyFont="1" applyFill="1" applyBorder="1" applyAlignment="1" applyProtection="1">
      <alignment horizontal="center" vertical="center" wrapText="1"/>
      <protection hidden="1"/>
    </xf>
    <xf numFmtId="0" fontId="5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5" borderId="84" xfId="0" applyFont="1" applyFill="1" applyBorder="1" applyAlignment="1">
      <alignment horizontal="center" vertical="center"/>
    </xf>
    <xf numFmtId="0" fontId="0" fillId="0" borderId="84" xfId="0" applyBorder="1" applyAlignment="1">
      <alignment horizontal="center"/>
    </xf>
    <xf numFmtId="0" fontId="2" fillId="4" borderId="84" xfId="0" applyFont="1" applyFill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2" fillId="0" borderId="126" xfId="0" applyFont="1" applyBorder="1" applyAlignment="1" applyProtection="1">
      <alignment horizontal="center" vertical="center" wrapText="1"/>
      <protection hidden="1"/>
    </xf>
    <xf numFmtId="0" fontId="2" fillId="0" borderId="127" xfId="0" applyFont="1" applyBorder="1" applyAlignment="1" applyProtection="1">
      <alignment horizontal="center" vertical="center" wrapText="1"/>
      <protection hidden="1"/>
    </xf>
    <xf numFmtId="0" fontId="9" fillId="0" borderId="2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9" fillId="0" borderId="2" xfId="0" applyFont="1" applyBorder="1" applyAlignment="1" applyProtection="1">
      <alignment horizontal="center" vertical="center" textRotation="255" wrapText="1"/>
      <protection hidden="1"/>
    </xf>
    <xf numFmtId="0" fontId="0" fillId="0" borderId="2" xfId="0" applyBorder="1" applyAlignment="1" applyProtection="1">
      <alignment horizontal="center" vertical="center" wrapText="1"/>
      <protection hidden="1"/>
    </xf>
    <xf numFmtId="0" fontId="9" fillId="0" borderId="126" xfId="0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0" fontId="4" fillId="0" borderId="126" xfId="0" applyFont="1" applyBorder="1" applyAlignment="1" applyProtection="1">
      <alignment horizontal="center" vertical="center" wrapText="1"/>
      <protection hidden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 applyProtection="1">
      <alignment horizontal="center" vertical="center" wrapText="1"/>
      <protection hidden="1"/>
    </xf>
    <xf numFmtId="0" fontId="0" fillId="0" borderId="3" xfId="0" applyBorder="1" applyAlignment="1" applyProtection="1">
      <alignment horizontal="left" vertical="center" wrapText="1"/>
      <protection hidden="1"/>
    </xf>
    <xf numFmtId="0" fontId="0" fillId="0" borderId="4" xfId="0" applyBorder="1" applyAlignment="1" applyProtection="1">
      <alignment horizontal="left" vertical="center" wrapText="1"/>
      <protection hidden="1"/>
    </xf>
    <xf numFmtId="0" fontId="8" fillId="0" borderId="9" xfId="0" applyFont="1" applyBorder="1" applyAlignment="1" applyProtection="1">
      <alignment horizontal="center" vertical="center" textRotation="255" wrapText="1" readingOrder="2"/>
      <protection hidden="1"/>
    </xf>
    <xf numFmtId="0" fontId="8" fillId="0" borderId="16" xfId="0" applyFont="1" applyBorder="1" applyAlignment="1" applyProtection="1">
      <alignment horizontal="center" vertical="center" textRotation="255" wrapText="1" readingOrder="2"/>
      <protection hidden="1"/>
    </xf>
    <xf numFmtId="0" fontId="8" fillId="0" borderId="24" xfId="0" applyFont="1" applyBorder="1" applyAlignment="1" applyProtection="1">
      <alignment horizontal="center" vertical="center" textRotation="255" wrapText="1" readingOrder="2"/>
      <protection hidden="1"/>
    </xf>
    <xf numFmtId="0" fontId="8" fillId="0" borderId="29" xfId="0" applyFont="1" applyBorder="1" applyAlignment="1" applyProtection="1">
      <alignment horizontal="center" vertical="center" textRotation="255" wrapText="1" readingOrder="2"/>
      <protection hidden="1"/>
    </xf>
    <xf numFmtId="0" fontId="8" fillId="0" borderId="34" xfId="0" applyFont="1" applyBorder="1" applyAlignment="1" applyProtection="1">
      <alignment horizontal="center" vertical="center" textRotation="255" wrapText="1" readingOrder="2"/>
      <protection hidden="1"/>
    </xf>
    <xf numFmtId="0" fontId="8" fillId="0" borderId="58" xfId="0" applyFont="1" applyBorder="1" applyAlignment="1" applyProtection="1">
      <alignment horizontal="center" vertical="center" textRotation="255" wrapText="1"/>
      <protection hidden="1"/>
    </xf>
    <xf numFmtId="0" fontId="8" fillId="0" borderId="59" xfId="0" applyFont="1" applyBorder="1" applyAlignment="1" applyProtection="1">
      <alignment horizontal="center" vertical="center" textRotation="255" wrapText="1"/>
      <protection hidden="1"/>
    </xf>
    <xf numFmtId="0" fontId="8" fillId="0" borderId="63" xfId="0" applyFont="1" applyBorder="1" applyAlignment="1" applyProtection="1">
      <alignment horizontal="center" vertical="center" textRotation="255" wrapText="1"/>
      <protection hidden="1"/>
    </xf>
    <xf numFmtId="0" fontId="8" fillId="0" borderId="64" xfId="0" applyFont="1" applyBorder="1" applyAlignment="1" applyProtection="1">
      <alignment horizontal="center" vertical="center" textRotation="255" wrapText="1"/>
      <protection hidden="1"/>
    </xf>
    <xf numFmtId="0" fontId="8" fillId="0" borderId="64" xfId="0" applyFont="1" applyBorder="1" applyAlignment="1" applyProtection="1">
      <alignment horizontal="center" vertical="center" wrapText="1"/>
      <protection hidden="1"/>
    </xf>
    <xf numFmtId="0" fontId="8" fillId="0" borderId="59" xfId="0" applyFont="1" applyBorder="1" applyAlignment="1" applyProtection="1">
      <alignment horizontal="center" vertical="center" wrapText="1"/>
      <protection hidden="1"/>
    </xf>
    <xf numFmtId="0" fontId="8" fillId="0" borderId="66" xfId="0" applyFont="1" applyBorder="1" applyAlignment="1" applyProtection="1">
      <alignment horizontal="center" vertical="center" wrapText="1"/>
      <protection hidden="1"/>
    </xf>
    <xf numFmtId="0" fontId="9" fillId="0" borderId="10" xfId="0" applyFont="1" applyBorder="1" applyAlignment="1" applyProtection="1">
      <alignment horizontal="center" vertical="center" wrapText="1"/>
      <protection hidden="1"/>
    </xf>
    <xf numFmtId="0" fontId="9" fillId="0" borderId="17" xfId="0" applyFont="1" applyBorder="1" applyAlignment="1" applyProtection="1">
      <alignment horizontal="center" vertical="center" wrapText="1"/>
      <protection hidden="1"/>
    </xf>
    <xf numFmtId="0" fontId="8" fillId="0" borderId="30" xfId="0" applyFont="1" applyBorder="1" applyAlignment="1" applyProtection="1">
      <alignment horizontal="center" vertical="center" wrapText="1"/>
      <protection hidden="1"/>
    </xf>
    <xf numFmtId="0" fontId="8" fillId="0" borderId="35" xfId="0" applyFont="1" applyBorder="1" applyAlignment="1" applyProtection="1">
      <alignment horizontal="center" vertical="center" wrapText="1"/>
      <protection hidden="1"/>
    </xf>
    <xf numFmtId="0" fontId="8" fillId="0" borderId="38" xfId="0" applyFont="1" applyBorder="1" applyAlignment="1" applyProtection="1">
      <alignment horizontal="center" vertical="center" wrapText="1"/>
      <protection hidden="1"/>
    </xf>
    <xf numFmtId="0" fontId="8" fillId="0" borderId="39" xfId="0" applyFont="1" applyBorder="1" applyAlignment="1" applyProtection="1">
      <alignment horizontal="center" vertical="center" wrapText="1"/>
      <protection hidden="1"/>
    </xf>
    <xf numFmtId="0" fontId="13" fillId="0" borderId="38" xfId="0" applyFont="1" applyBorder="1" applyAlignment="1" applyProtection="1">
      <alignment horizontal="center" vertical="center" wrapText="1"/>
      <protection hidden="1"/>
    </xf>
    <xf numFmtId="0" fontId="13" fillId="0" borderId="39" xfId="0" applyFont="1" applyBorder="1" applyAlignment="1" applyProtection="1">
      <alignment horizontal="center" vertical="center" wrapText="1"/>
      <protection hidden="1"/>
    </xf>
    <xf numFmtId="0" fontId="8" fillId="0" borderId="47" xfId="0" applyFont="1" applyBorder="1" applyAlignment="1" applyProtection="1">
      <alignment horizontal="center" vertical="center" wrapText="1"/>
      <protection hidden="1"/>
    </xf>
    <xf numFmtId="0" fontId="8" fillId="0" borderId="51" xfId="0" applyFont="1" applyBorder="1" applyAlignment="1" applyProtection="1">
      <alignment horizontal="center" vertical="center" wrapText="1"/>
      <protection hidden="1"/>
    </xf>
    <xf numFmtId="0" fontId="8" fillId="0" borderId="17" xfId="0" applyFont="1" applyBorder="1" applyAlignment="1" applyProtection="1">
      <alignment horizontal="center" vertical="center" wrapText="1"/>
      <protection hidden="1"/>
    </xf>
    <xf numFmtId="0" fontId="8" fillId="0" borderId="53" xfId="0" applyFont="1" applyBorder="1" applyAlignment="1" applyProtection="1">
      <alignment horizontal="center" vertical="center" wrapText="1"/>
      <protection hidden="1"/>
    </xf>
    <xf numFmtId="0" fontId="8" fillId="0" borderId="60" xfId="0" applyFont="1" applyBorder="1" applyAlignment="1" applyProtection="1">
      <alignment horizontal="center" vertical="center" wrapText="1"/>
      <protection hidden="1"/>
    </xf>
    <xf numFmtId="0" fontId="8" fillId="0" borderId="61" xfId="0" applyFont="1" applyBorder="1" applyAlignment="1" applyProtection="1">
      <alignment horizontal="center" vertical="center" wrapText="1"/>
      <protection hidden="1"/>
    </xf>
    <xf numFmtId="0" fontId="9" fillId="0" borderId="53" xfId="0" applyFont="1" applyBorder="1" applyAlignment="1" applyProtection="1">
      <alignment horizontal="center" vertical="center" wrapText="1"/>
      <protection hidden="1"/>
    </xf>
    <xf numFmtId="0" fontId="9" fillId="0" borderId="35" xfId="0" applyFont="1" applyBorder="1" applyAlignment="1" applyProtection="1">
      <alignment horizontal="center" vertical="center" wrapText="1"/>
      <protection hidden="1"/>
    </xf>
    <xf numFmtId="0" fontId="9" fillId="0" borderId="60" xfId="0" applyFont="1" applyBorder="1" applyAlignment="1" applyProtection="1">
      <alignment horizontal="center" vertical="center" wrapText="1"/>
      <protection hidden="1"/>
    </xf>
    <xf numFmtId="0" fontId="9" fillId="0" borderId="67" xfId="0" applyFont="1" applyBorder="1" applyAlignment="1" applyProtection="1">
      <alignment horizontal="center" vertical="center" wrapText="1"/>
      <protection hidden="1"/>
    </xf>
    <xf numFmtId="0" fontId="9" fillId="0" borderId="68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 applyProtection="1">
      <alignment horizontal="center" vertical="center" wrapText="1"/>
      <protection hidden="1"/>
    </xf>
    <xf numFmtId="0" fontId="10" fillId="0" borderId="18" xfId="0" applyFont="1" applyBorder="1" applyAlignment="1" applyProtection="1">
      <alignment horizontal="center" vertical="center" wrapText="1"/>
      <protection hidden="1"/>
    </xf>
    <xf numFmtId="0" fontId="10" fillId="0" borderId="23" xfId="0" applyFont="1" applyBorder="1" applyAlignment="1" applyProtection="1">
      <alignment horizontal="center" vertical="center" wrapText="1"/>
      <protection hidden="1"/>
    </xf>
    <xf numFmtId="0" fontId="10" fillId="0" borderId="25" xfId="0" applyFont="1" applyBorder="1" applyAlignment="1" applyProtection="1">
      <alignment horizontal="center" vertical="center" wrapText="1"/>
      <protection hidden="1"/>
    </xf>
    <xf numFmtId="0" fontId="10" fillId="0" borderId="31" xfId="0" applyFont="1" applyBorder="1" applyAlignment="1" applyProtection="1">
      <alignment horizontal="center" vertical="center" wrapText="1"/>
      <protection hidden="1"/>
    </xf>
    <xf numFmtId="0" fontId="10" fillId="0" borderId="45" xfId="0" applyFont="1" applyBorder="1" applyAlignment="1" applyProtection="1">
      <alignment horizontal="center" vertical="center" wrapText="1"/>
      <protection hidden="1"/>
    </xf>
    <xf numFmtId="0" fontId="10" fillId="0" borderId="0" xfId="0" applyFont="1" applyBorder="1" applyAlignment="1" applyProtection="1">
      <alignment horizontal="center" vertical="center" wrapText="1"/>
      <protection hidden="1"/>
    </xf>
    <xf numFmtId="0" fontId="10" fillId="0" borderId="48" xfId="0" applyFont="1" applyBorder="1" applyAlignment="1" applyProtection="1">
      <alignment horizontal="center" vertical="center" wrapText="1"/>
      <protection hidden="1"/>
    </xf>
    <xf numFmtId="0" fontId="10" fillId="0" borderId="49" xfId="0" applyFont="1" applyBorder="1" applyAlignment="1" applyProtection="1">
      <alignment horizontal="center" vertical="center" wrapText="1"/>
      <protection hidden="1"/>
    </xf>
    <xf numFmtId="0" fontId="10" fillId="0" borderId="50" xfId="0" applyFont="1" applyBorder="1" applyAlignment="1" applyProtection="1">
      <alignment horizontal="center" vertical="center" wrapText="1"/>
      <protection hidden="1"/>
    </xf>
    <xf numFmtId="0" fontId="10" fillId="0" borderId="52" xfId="0" applyFont="1" applyBorder="1" applyAlignment="1" applyProtection="1">
      <alignment horizontal="center" vertical="center" wrapText="1"/>
      <protection hidden="1"/>
    </xf>
    <xf numFmtId="0" fontId="10" fillId="0" borderId="54" xfId="0" applyFont="1" applyBorder="1" applyAlignment="1" applyProtection="1">
      <alignment horizontal="center" vertical="center" wrapText="1"/>
      <protection hidden="1"/>
    </xf>
    <xf numFmtId="0" fontId="10" fillId="0" borderId="62" xfId="0" applyFont="1" applyBorder="1" applyAlignment="1" applyProtection="1">
      <alignment horizontal="center" vertical="center" wrapText="1"/>
      <protection hidden="1"/>
    </xf>
    <xf numFmtId="0" fontId="10" fillId="0" borderId="65" xfId="0" applyFont="1" applyBorder="1" applyAlignment="1" applyProtection="1">
      <alignment horizontal="center" vertical="center" wrapText="1"/>
      <protection hidden="1"/>
    </xf>
    <xf numFmtId="0" fontId="10" fillId="0" borderId="69" xfId="0" applyFont="1" applyBorder="1" applyAlignment="1" applyProtection="1">
      <alignment horizontal="center" vertical="center" wrapText="1"/>
      <protection hidden="1"/>
    </xf>
    <xf numFmtId="0" fontId="11" fillId="0" borderId="2" xfId="0" applyFont="1" applyBorder="1" applyAlignment="1" applyProtection="1">
      <alignment horizontal="center" vertical="center" shrinkToFit="1"/>
      <protection hidden="1"/>
    </xf>
    <xf numFmtId="0" fontId="11" fillId="0" borderId="46" xfId="0" applyFont="1" applyBorder="1" applyAlignment="1" applyProtection="1">
      <alignment horizontal="center" vertical="center" shrinkToFit="1"/>
      <protection hidden="1"/>
    </xf>
    <xf numFmtId="0" fontId="14" fillId="0" borderId="0" xfId="0" applyFont="1" applyBorder="1" applyAlignment="1" applyProtection="1">
      <alignment horizontal="center" vertical="center" wrapText="1"/>
      <protection hidden="1"/>
    </xf>
    <xf numFmtId="0" fontId="9" fillId="0" borderId="76" xfId="0" applyFont="1" applyBorder="1" applyAlignment="1" applyProtection="1">
      <alignment horizontal="left" vertical="center" wrapText="1"/>
      <protection hidden="1"/>
    </xf>
    <xf numFmtId="0" fontId="9" fillId="0" borderId="77" xfId="0" applyFont="1" applyBorder="1" applyAlignment="1" applyProtection="1">
      <alignment horizontal="left" vertical="center" wrapText="1"/>
      <protection hidden="1"/>
    </xf>
    <xf numFmtId="0" fontId="8" fillId="0" borderId="9" xfId="0" applyFont="1" applyBorder="1" applyAlignment="1" applyProtection="1">
      <alignment horizontal="center" vertical="center" textRotation="255" readingOrder="2"/>
      <protection hidden="1"/>
    </xf>
    <xf numFmtId="0" fontId="8" fillId="0" borderId="16" xfId="0" applyFont="1" applyBorder="1" applyAlignment="1" applyProtection="1">
      <alignment horizontal="center" vertical="center" textRotation="255" readingOrder="2"/>
      <protection hidden="1"/>
    </xf>
    <xf numFmtId="0" fontId="8" fillId="0" borderId="24" xfId="0" applyFont="1" applyBorder="1" applyAlignment="1" applyProtection="1">
      <alignment horizontal="center" vertical="center" textRotation="255" readingOrder="2"/>
      <protection hidden="1"/>
    </xf>
    <xf numFmtId="0" fontId="8" fillId="0" borderId="96" xfId="0" applyFont="1" applyBorder="1" applyAlignment="1" applyProtection="1">
      <alignment horizontal="center" vertical="center" textRotation="255" wrapText="1" readingOrder="2"/>
      <protection hidden="1"/>
    </xf>
    <xf numFmtId="0" fontId="8" fillId="0" borderId="95" xfId="0" applyFont="1" applyBorder="1" applyAlignment="1" applyProtection="1">
      <alignment horizontal="center" vertical="center" textRotation="255" wrapText="1" readingOrder="2"/>
      <protection hidden="1"/>
    </xf>
    <xf numFmtId="0" fontId="8" fillId="0" borderId="112" xfId="0" applyFont="1" applyBorder="1" applyAlignment="1" applyProtection="1">
      <alignment horizontal="center" vertical="center" textRotation="255" wrapText="1"/>
      <protection hidden="1"/>
    </xf>
    <xf numFmtId="0" fontId="8" fillId="0" borderId="16" xfId="0" applyFont="1" applyBorder="1" applyAlignment="1" applyProtection="1">
      <alignment horizontal="center" vertical="center" textRotation="255" wrapText="1"/>
      <protection hidden="1"/>
    </xf>
    <xf numFmtId="0" fontId="8" fillId="0" borderId="95" xfId="0" applyFont="1" applyBorder="1" applyAlignment="1" applyProtection="1">
      <alignment horizontal="center" vertical="center" textRotation="255" wrapText="1"/>
      <protection hidden="1"/>
    </xf>
    <xf numFmtId="0" fontId="8" fillId="0" borderId="16" xfId="0" applyFont="1" applyBorder="1" applyAlignment="1" applyProtection="1">
      <alignment horizontal="center" vertical="center" wrapText="1"/>
      <protection hidden="1"/>
    </xf>
    <xf numFmtId="0" fontId="8" fillId="0" borderId="122" xfId="0" applyFont="1" applyBorder="1" applyAlignment="1" applyProtection="1">
      <alignment horizontal="center" vertical="center" wrapText="1"/>
      <protection hidden="1"/>
    </xf>
    <xf numFmtId="0" fontId="9" fillId="0" borderId="81" xfId="0" applyFont="1" applyBorder="1" applyAlignment="1" applyProtection="1">
      <alignment horizontal="center" vertical="center" wrapText="1"/>
      <protection hidden="1"/>
    </xf>
    <xf numFmtId="0" fontId="9" fillId="0" borderId="88" xfId="0" applyFont="1" applyBorder="1" applyAlignment="1" applyProtection="1">
      <alignment horizontal="center" vertical="center" wrapText="1"/>
      <protection hidden="1"/>
    </xf>
    <xf numFmtId="0" fontId="9" fillId="0" borderId="91" xfId="0" applyFont="1" applyBorder="1" applyAlignment="1" applyProtection="1">
      <alignment horizontal="center" vertical="center" wrapText="1"/>
      <protection hidden="1"/>
    </xf>
    <xf numFmtId="0" fontId="9" fillId="0" borderId="92" xfId="0" applyFont="1" applyBorder="1" applyAlignment="1" applyProtection="1">
      <alignment horizontal="center" vertical="center" wrapText="1"/>
      <protection hidden="1"/>
    </xf>
    <xf numFmtId="0" fontId="8" fillId="0" borderId="97" xfId="0" applyFont="1" applyBorder="1" applyAlignment="1" applyProtection="1">
      <alignment horizontal="center" vertical="center" wrapText="1"/>
      <protection hidden="1"/>
    </xf>
    <xf numFmtId="0" fontId="8" fillId="0" borderId="101" xfId="0" applyFont="1" applyBorder="1" applyAlignment="1" applyProtection="1">
      <alignment horizontal="center" vertical="center" wrapText="1"/>
      <protection hidden="1"/>
    </xf>
    <xf numFmtId="0" fontId="8" fillId="0" borderId="102" xfId="0" applyFont="1" applyBorder="1" applyAlignment="1" applyProtection="1">
      <alignment horizontal="center" vertical="center" wrapText="1"/>
      <protection hidden="1"/>
    </xf>
    <xf numFmtId="0" fontId="8" fillId="0" borderId="103" xfId="0" applyFont="1" applyBorder="1" applyAlignment="1" applyProtection="1">
      <alignment horizontal="center" vertical="center" wrapText="1"/>
      <protection hidden="1"/>
    </xf>
    <xf numFmtId="0" fontId="13" fillId="0" borderId="104" xfId="0" applyFont="1" applyBorder="1" applyAlignment="1" applyProtection="1">
      <alignment horizontal="center" vertical="center" wrapText="1"/>
      <protection hidden="1"/>
    </xf>
    <xf numFmtId="0" fontId="13" fillId="0" borderId="107" xfId="0" applyFont="1" applyBorder="1" applyAlignment="1" applyProtection="1">
      <alignment horizontal="center" vertical="center" wrapText="1"/>
      <protection hidden="1"/>
    </xf>
    <xf numFmtId="0" fontId="8" fillId="0" borderId="88" xfId="0" applyFont="1" applyBorder="1" applyAlignment="1" applyProtection="1">
      <alignment horizontal="center" vertical="center" wrapText="1"/>
      <protection hidden="1"/>
    </xf>
    <xf numFmtId="0" fontId="8" fillId="0" borderId="110" xfId="0" applyFont="1" applyBorder="1" applyAlignment="1" applyProtection="1">
      <alignment horizontal="center" vertical="center" wrapText="1"/>
      <protection hidden="1"/>
    </xf>
    <xf numFmtId="0" fontId="8" fillId="0" borderId="111" xfId="0" applyFont="1" applyBorder="1" applyAlignment="1" applyProtection="1">
      <alignment horizontal="center" vertical="center" wrapText="1"/>
      <protection hidden="1"/>
    </xf>
    <xf numFmtId="0" fontId="8" fillId="0" borderId="81" xfId="0" applyFont="1" applyBorder="1" applyAlignment="1" applyProtection="1">
      <alignment horizontal="center" vertical="center" wrapText="1"/>
      <protection hidden="1"/>
    </xf>
    <xf numFmtId="0" fontId="8" fillId="0" borderId="91" xfId="0" applyFont="1" applyBorder="1" applyAlignment="1" applyProtection="1">
      <alignment horizontal="center" vertical="center" wrapText="1"/>
      <protection hidden="1"/>
    </xf>
    <xf numFmtId="0" fontId="13" fillId="0" borderId="81" xfId="0" applyFont="1" applyBorder="1" applyAlignment="1" applyProtection="1">
      <alignment horizontal="center" vertical="center" wrapText="1"/>
      <protection hidden="1"/>
    </xf>
    <xf numFmtId="0" fontId="13" fillId="0" borderId="88" xfId="0" applyFont="1" applyBorder="1" applyAlignment="1" applyProtection="1">
      <alignment horizontal="center" vertical="center" wrapText="1"/>
      <protection hidden="1"/>
    </xf>
    <xf numFmtId="0" fontId="8" fillId="0" borderId="44" xfId="0" applyFont="1" applyBorder="1" applyAlignment="1" applyProtection="1">
      <alignment horizontal="center" vertical="center" wrapText="1"/>
      <protection hidden="1"/>
    </xf>
    <xf numFmtId="0" fontId="8" fillId="0" borderId="42" xfId="0" applyFont="1" applyBorder="1" applyAlignment="1" applyProtection="1">
      <alignment horizontal="center" vertical="center" wrapText="1"/>
      <protection hidden="1"/>
    </xf>
    <xf numFmtId="0" fontId="8" fillId="0" borderId="85" xfId="0" applyFont="1" applyBorder="1" applyAlignment="1" applyProtection="1">
      <alignment horizontal="center" vertical="center" wrapText="1"/>
      <protection hidden="1"/>
    </xf>
    <xf numFmtId="0" fontId="8" fillId="0" borderId="56" xfId="0" applyFont="1" applyBorder="1" applyAlignment="1" applyProtection="1">
      <alignment horizontal="center" vertical="center" wrapText="1"/>
      <protection hidden="1"/>
    </xf>
    <xf numFmtId="0" fontId="9" fillId="0" borderId="103" xfId="0" applyFont="1" applyBorder="1" applyAlignment="1" applyProtection="1">
      <alignment horizontal="center" vertical="center" wrapText="1"/>
      <protection hidden="1"/>
    </xf>
    <xf numFmtId="0" fontId="9" fillId="0" borderId="102" xfId="0" applyFont="1" applyBorder="1" applyAlignment="1" applyProtection="1">
      <alignment horizontal="center" vertical="center" wrapText="1"/>
      <protection hidden="1"/>
    </xf>
    <xf numFmtId="0" fontId="9" fillId="0" borderId="110" xfId="0" applyFont="1" applyBorder="1" applyAlignment="1" applyProtection="1">
      <alignment horizontal="center" vertical="center" wrapText="1"/>
      <protection hidden="1"/>
    </xf>
    <xf numFmtId="0" fontId="9" fillId="0" borderId="123" xfId="0" applyFont="1" applyBorder="1" applyAlignment="1" applyProtection="1">
      <alignment horizontal="center" vertical="center" wrapText="1"/>
      <protection hidden="1"/>
    </xf>
    <xf numFmtId="0" fontId="10" fillId="0" borderId="105" xfId="0" applyFont="1" applyBorder="1" applyAlignment="1" applyProtection="1">
      <alignment horizontal="center" vertical="center" wrapText="1"/>
      <protection hidden="1"/>
    </xf>
    <xf numFmtId="0" fontId="10" fillId="0" borderId="108" xfId="0" applyFont="1" applyBorder="1" applyAlignment="1" applyProtection="1">
      <alignment horizontal="center" vertical="center" wrapText="1"/>
      <protection hidden="1"/>
    </xf>
    <xf numFmtId="0" fontId="10" fillId="0" borderId="121" xfId="0" applyFont="1" applyBorder="1" applyAlignment="1" applyProtection="1">
      <alignment horizontal="center" vertical="center" wrapText="1"/>
      <protection hidden="1"/>
    </xf>
    <xf numFmtId="0" fontId="11" fillId="0" borderId="19" xfId="0" applyFont="1" applyBorder="1" applyAlignment="1" applyProtection="1">
      <alignment horizontal="center" vertical="center" shrinkToFit="1"/>
      <protection hidden="1"/>
    </xf>
    <xf numFmtId="0" fontId="11" fillId="0" borderId="36" xfId="0" applyFont="1" applyBorder="1" applyAlignment="1" applyProtection="1">
      <alignment horizontal="center" vertical="center" shrinkToFit="1"/>
      <protection hidden="1"/>
    </xf>
    <xf numFmtId="0" fontId="11" fillId="0" borderId="37" xfId="0" applyFont="1" applyBorder="1" applyAlignment="1" applyProtection="1">
      <alignment horizontal="center" vertical="center" shrinkToFit="1"/>
      <protection hidden="1"/>
    </xf>
    <xf numFmtId="0" fontId="11" fillId="0" borderId="12" xfId="0" applyFont="1" applyBorder="1" applyAlignment="1" applyProtection="1">
      <alignment horizontal="center" vertical="center" shrinkToFit="1"/>
      <protection hidden="1"/>
    </xf>
    <xf numFmtId="0" fontId="11" fillId="0" borderId="106" xfId="0" applyFont="1" applyBorder="1" applyAlignment="1" applyProtection="1">
      <alignment horizontal="center" vertical="center" shrinkToFit="1"/>
      <protection hidden="1"/>
    </xf>
    <xf numFmtId="0" fontId="11" fillId="0" borderId="109" xfId="0" applyFont="1" applyBorder="1" applyAlignment="1" applyProtection="1">
      <alignment horizontal="center" vertical="center" shrinkToFit="1"/>
      <protection hidden="1"/>
    </xf>
    <xf numFmtId="0" fontId="11" fillId="3" borderId="12" xfId="0" applyFont="1" applyFill="1" applyBorder="1" applyAlignment="1" applyProtection="1">
      <alignment horizontal="center" vertical="center" wrapText="1" shrinkToFit="1"/>
      <protection hidden="1"/>
    </xf>
    <xf numFmtId="0" fontId="11" fillId="3" borderId="19" xfId="0" applyFont="1" applyFill="1" applyBorder="1" applyAlignment="1" applyProtection="1">
      <alignment horizontal="center" vertical="center" shrinkToFit="1"/>
      <protection hidden="1"/>
    </xf>
    <xf numFmtId="0" fontId="11" fillId="3" borderId="12" xfId="0" applyFont="1" applyFill="1" applyBorder="1" applyAlignment="1" applyProtection="1">
      <alignment horizontal="center" vertical="center" shrinkToFit="1"/>
      <protection hidden="1"/>
    </xf>
    <xf numFmtId="0" fontId="11" fillId="3" borderId="70" xfId="0" applyFont="1" applyFill="1" applyBorder="1" applyAlignment="1" applyProtection="1">
      <alignment horizontal="center" vertical="center" shrinkToFit="1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</cellXfs>
  <cellStyles count="1">
    <cellStyle name="常规" xfId="0" builtinId="0"/>
  </cellStyles>
  <dxfs count="24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516890</xdr:colOff>
      <xdr:row>1</xdr:row>
      <xdr:rowOff>601345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 flipH="1" flipV="1">
          <a:off x="9525" y="771525"/>
          <a:ext cx="935990" cy="5918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9523</xdr:rowOff>
    </xdr:from>
    <xdr:to>
      <xdr:col>2</xdr:col>
      <xdr:colOff>9524</xdr:colOff>
      <xdr:row>1</xdr:row>
      <xdr:rowOff>504824</xdr:rowOff>
    </xdr:to>
    <xdr:sp macro="" textlink="">
      <xdr:nvSpPr>
        <xdr:cNvPr id="2221" name="Line 6">
          <a:extLst>
            <a:ext uri="{FF2B5EF4-FFF2-40B4-BE49-F238E27FC236}">
              <a16:creationId xmlns:a16="http://schemas.microsoft.com/office/drawing/2014/main" id="{00000000-0008-0000-0300-0000AD080000}"/>
            </a:ext>
          </a:extLst>
        </xdr:cNvPr>
        <xdr:cNvSpPr/>
      </xdr:nvSpPr>
      <xdr:spPr>
        <a:xfrm flipH="1" flipV="1">
          <a:off x="0" y="821690"/>
          <a:ext cx="958850" cy="495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516890</xdr:colOff>
      <xdr:row>1</xdr:row>
      <xdr:rowOff>601345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 flipH="1" flipV="1">
          <a:off x="9525" y="771525"/>
          <a:ext cx="935990" cy="5918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</xdr:row>
      <xdr:rowOff>9525</xdr:rowOff>
    </xdr:from>
    <xdr:to>
      <xdr:col>1</xdr:col>
      <xdr:colOff>516890</xdr:colOff>
      <xdr:row>1</xdr:row>
      <xdr:rowOff>601345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 flipH="1" flipV="1">
          <a:off x="9525" y="771525"/>
          <a:ext cx="935990" cy="5918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68"/>
  <sheetViews>
    <sheetView workbookViewId="0">
      <pane xSplit="1" ySplit="2" topLeftCell="B65" activePane="bottomRight" state="frozen"/>
      <selection pane="topRight"/>
      <selection pane="bottomLeft"/>
      <selection pane="bottomRight" activeCell="A3" sqref="A3"/>
    </sheetView>
  </sheetViews>
  <sheetFormatPr defaultColWidth="8.875" defaultRowHeight="15.75" x14ac:dyDescent="0.4"/>
  <cols>
    <col min="1" max="1" width="9.25" style="130" customWidth="1"/>
    <col min="2" max="15" width="9.75" style="130" customWidth="1"/>
    <col min="16" max="16" width="9.5" style="130" customWidth="1"/>
    <col min="17" max="16384" width="8.875" style="130"/>
  </cols>
  <sheetData>
    <row r="1" spans="1:25" ht="37.5" customHeight="1" x14ac:dyDescent="0.4">
      <c r="A1" s="150" t="s">
        <v>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1"/>
      <c r="N1" s="151"/>
      <c r="O1" s="151"/>
    </row>
    <row r="2" spans="1:25" ht="21.95" customHeight="1" x14ac:dyDescent="0.4">
      <c r="A2" s="131" t="s">
        <v>1</v>
      </c>
      <c r="B2" s="132" t="s">
        <v>2</v>
      </c>
      <c r="C2" s="132" t="s">
        <v>3</v>
      </c>
      <c r="D2" s="132" t="s">
        <v>4</v>
      </c>
      <c r="E2" s="132" t="s">
        <v>5</v>
      </c>
      <c r="F2" s="132" t="s">
        <v>6</v>
      </c>
      <c r="G2" s="132" t="s">
        <v>7</v>
      </c>
      <c r="H2" s="132" t="s">
        <v>8</v>
      </c>
      <c r="I2" s="132" t="s">
        <v>9</v>
      </c>
      <c r="J2" s="132" t="s">
        <v>10</v>
      </c>
      <c r="K2" s="132" t="s">
        <v>11</v>
      </c>
      <c r="L2" s="132" t="s">
        <v>12</v>
      </c>
      <c r="M2" s="132" t="s">
        <v>13</v>
      </c>
      <c r="N2" s="132" t="s">
        <v>14</v>
      </c>
      <c r="O2" s="132" t="s">
        <v>15</v>
      </c>
      <c r="P2" s="132" t="s">
        <v>16</v>
      </c>
      <c r="Q2" s="132" t="s">
        <v>17</v>
      </c>
      <c r="R2" s="132" t="s">
        <v>18</v>
      </c>
      <c r="S2" s="132" t="s">
        <v>19</v>
      </c>
      <c r="T2" s="132" t="s">
        <v>20</v>
      </c>
      <c r="U2" s="132" t="s">
        <v>21</v>
      </c>
      <c r="V2" s="132" t="s">
        <v>22</v>
      </c>
      <c r="W2" s="132" t="s">
        <v>23</v>
      </c>
      <c r="X2" s="132" t="s">
        <v>24</v>
      </c>
      <c r="Y2" s="132" t="s">
        <v>25</v>
      </c>
    </row>
    <row r="3" spans="1:25" x14ac:dyDescent="0.4">
      <c r="A3" s="133" t="s">
        <v>26</v>
      </c>
      <c r="B3" s="108" t="s">
        <v>27</v>
      </c>
      <c r="C3" s="108" t="s">
        <v>28</v>
      </c>
      <c r="D3" s="108" t="s">
        <v>27</v>
      </c>
      <c r="E3" s="108" t="s">
        <v>28</v>
      </c>
      <c r="F3" s="108" t="s">
        <v>29</v>
      </c>
      <c r="G3" s="108" t="s">
        <v>30</v>
      </c>
      <c r="H3" s="108" t="s">
        <v>31</v>
      </c>
      <c r="I3" s="108" t="s">
        <v>32</v>
      </c>
      <c r="J3" s="108" t="s">
        <v>29</v>
      </c>
      <c r="K3" s="108" t="s">
        <v>33</v>
      </c>
      <c r="L3" s="108" t="s">
        <v>32</v>
      </c>
      <c r="M3" s="108" t="s">
        <v>31</v>
      </c>
      <c r="N3" s="108" t="s">
        <v>33</v>
      </c>
      <c r="O3" s="108" t="s">
        <v>30</v>
      </c>
      <c r="P3" s="108" t="s">
        <v>32</v>
      </c>
      <c r="Q3" s="134"/>
      <c r="R3" s="134"/>
      <c r="S3" s="134"/>
      <c r="T3" s="134"/>
      <c r="U3" s="134"/>
      <c r="V3" s="134"/>
      <c r="W3" s="134"/>
      <c r="X3" s="134"/>
      <c r="Y3" s="134"/>
    </row>
    <row r="4" spans="1:25" x14ac:dyDescent="0.4">
      <c r="A4" s="133" t="s">
        <v>34</v>
      </c>
      <c r="B4" s="108" t="s">
        <v>35</v>
      </c>
      <c r="C4" s="108" t="s">
        <v>36</v>
      </c>
      <c r="D4" s="108" t="s">
        <v>36</v>
      </c>
      <c r="E4" s="108" t="s">
        <v>35</v>
      </c>
      <c r="F4" s="108" t="s">
        <v>37</v>
      </c>
      <c r="G4" s="108" t="s">
        <v>38</v>
      </c>
      <c r="H4" s="108" t="s">
        <v>39</v>
      </c>
      <c r="I4" s="108" t="s">
        <v>40</v>
      </c>
      <c r="J4" s="108" t="s">
        <v>37</v>
      </c>
      <c r="K4" s="108" t="s">
        <v>41</v>
      </c>
      <c r="L4" s="108" t="s">
        <v>39</v>
      </c>
      <c r="M4" s="108" t="s">
        <v>41</v>
      </c>
      <c r="N4" s="108" t="s">
        <v>39</v>
      </c>
      <c r="O4" s="108" t="s">
        <v>38</v>
      </c>
      <c r="P4" s="108" t="s">
        <v>40</v>
      </c>
      <c r="Q4" s="134"/>
      <c r="R4" s="134"/>
      <c r="S4" s="134"/>
      <c r="T4" s="134"/>
      <c r="U4" s="134"/>
      <c r="V4" s="134"/>
      <c r="W4" s="134"/>
      <c r="X4" s="134"/>
      <c r="Y4" s="134"/>
    </row>
    <row r="5" spans="1:25" ht="25.5" x14ac:dyDescent="0.4">
      <c r="A5" s="133" t="s">
        <v>42</v>
      </c>
      <c r="B5" s="135" t="s">
        <v>43</v>
      </c>
      <c r="C5" s="135" t="s">
        <v>43</v>
      </c>
      <c r="D5" s="135" t="s">
        <v>43</v>
      </c>
      <c r="E5" s="135" t="s">
        <v>43</v>
      </c>
      <c r="F5" s="108" t="s">
        <v>44</v>
      </c>
      <c r="G5" s="108" t="s">
        <v>45</v>
      </c>
      <c r="H5" s="108" t="s">
        <v>46</v>
      </c>
      <c r="I5" s="108" t="s">
        <v>47</v>
      </c>
      <c r="J5" s="108" t="s">
        <v>44</v>
      </c>
      <c r="K5" s="108" t="s">
        <v>48</v>
      </c>
      <c r="L5" s="108" t="s">
        <v>49</v>
      </c>
      <c r="M5" s="108" t="s">
        <v>50</v>
      </c>
      <c r="N5" s="108" t="s">
        <v>51</v>
      </c>
      <c r="O5" s="108" t="s">
        <v>52</v>
      </c>
      <c r="P5" s="108" t="s">
        <v>53</v>
      </c>
      <c r="Q5" s="134"/>
      <c r="R5" s="134"/>
      <c r="S5" s="134"/>
      <c r="T5" s="134"/>
      <c r="U5" s="134"/>
      <c r="V5" s="134"/>
      <c r="W5" s="134"/>
      <c r="X5" s="134"/>
      <c r="Y5" s="134"/>
    </row>
    <row r="6" spans="1:25" x14ac:dyDescent="0.4">
      <c r="A6" s="133" t="s">
        <v>54</v>
      </c>
      <c r="B6" s="108" t="s">
        <v>55</v>
      </c>
      <c r="C6" s="108" t="s">
        <v>56</v>
      </c>
      <c r="D6" s="108" t="s">
        <v>56</v>
      </c>
      <c r="E6" s="108" t="s">
        <v>55</v>
      </c>
      <c r="F6" s="108" t="s">
        <v>57</v>
      </c>
      <c r="G6" s="108" t="s">
        <v>57</v>
      </c>
      <c r="H6" s="108" t="s">
        <v>57</v>
      </c>
      <c r="I6" s="108" t="s">
        <v>55</v>
      </c>
      <c r="J6" s="108"/>
      <c r="K6" s="108"/>
      <c r="L6" s="108"/>
      <c r="M6" s="108"/>
      <c r="N6" s="108"/>
      <c r="O6" s="108"/>
      <c r="P6" s="108"/>
      <c r="Q6" s="134"/>
      <c r="R6" s="134"/>
      <c r="S6" s="134"/>
      <c r="T6" s="134"/>
      <c r="U6" s="134"/>
      <c r="V6" s="134"/>
      <c r="W6" s="134"/>
      <c r="X6" s="134"/>
      <c r="Y6" s="134"/>
    </row>
    <row r="7" spans="1:25" x14ac:dyDescent="0.4">
      <c r="A7" s="133" t="s">
        <v>58</v>
      </c>
      <c r="B7" s="108" t="s">
        <v>59</v>
      </c>
      <c r="C7" s="108" t="s">
        <v>60</v>
      </c>
      <c r="D7" s="108" t="s">
        <v>60</v>
      </c>
      <c r="E7" s="108" t="s">
        <v>59</v>
      </c>
      <c r="F7" s="108" t="s">
        <v>61</v>
      </c>
      <c r="G7" s="108" t="s">
        <v>61</v>
      </c>
      <c r="H7" s="108" t="s">
        <v>59</v>
      </c>
      <c r="I7" s="108" t="s">
        <v>60</v>
      </c>
      <c r="J7" s="108"/>
      <c r="K7" s="108"/>
      <c r="L7" s="108"/>
      <c r="M7" s="108"/>
      <c r="N7" s="108"/>
      <c r="O7" s="108"/>
      <c r="P7" s="108"/>
      <c r="Q7" s="134"/>
      <c r="R7" s="134"/>
      <c r="S7" s="134"/>
      <c r="T7" s="134"/>
      <c r="U7" s="134"/>
      <c r="V7" s="134"/>
      <c r="W7" s="134"/>
      <c r="X7" s="134"/>
      <c r="Y7" s="134"/>
    </row>
    <row r="8" spans="1:25" x14ac:dyDescent="0.4">
      <c r="A8" s="133" t="s">
        <v>62</v>
      </c>
      <c r="B8" s="108" t="s">
        <v>63</v>
      </c>
      <c r="C8" s="108" t="s">
        <v>63</v>
      </c>
      <c r="D8" s="108" t="s">
        <v>63</v>
      </c>
      <c r="E8" s="108" t="s">
        <v>63</v>
      </c>
      <c r="F8" s="108" t="s">
        <v>64</v>
      </c>
      <c r="G8" s="108" t="s">
        <v>65</v>
      </c>
      <c r="H8" s="108"/>
      <c r="I8" s="108"/>
      <c r="J8" s="108" t="s">
        <v>64</v>
      </c>
      <c r="K8" s="108" t="s">
        <v>65</v>
      </c>
      <c r="L8" s="108"/>
      <c r="M8" s="108"/>
      <c r="N8" s="108"/>
      <c r="O8" s="108"/>
      <c r="P8" s="108"/>
      <c r="Q8" s="134"/>
      <c r="R8" s="134"/>
      <c r="S8" s="134"/>
      <c r="T8" s="134"/>
      <c r="U8" s="134"/>
      <c r="V8" s="134"/>
      <c r="W8" s="134"/>
      <c r="X8" s="134"/>
      <c r="Y8" s="134"/>
    </row>
    <row r="9" spans="1:25" x14ac:dyDescent="0.4">
      <c r="A9" s="133" t="s">
        <v>66</v>
      </c>
      <c r="B9" s="108" t="s">
        <v>67</v>
      </c>
      <c r="C9" s="108" t="s">
        <v>68</v>
      </c>
      <c r="D9" s="108" t="s">
        <v>67</v>
      </c>
      <c r="E9" s="108" t="s">
        <v>67</v>
      </c>
      <c r="F9" s="108"/>
      <c r="G9" s="108"/>
      <c r="H9" s="108"/>
      <c r="I9" s="108"/>
      <c r="J9" s="108" t="s">
        <v>68</v>
      </c>
      <c r="K9" s="108" t="s">
        <v>69</v>
      </c>
      <c r="L9" s="108" t="s">
        <v>68</v>
      </c>
      <c r="M9" s="108" t="s">
        <v>69</v>
      </c>
      <c r="N9" s="108" t="s">
        <v>70</v>
      </c>
      <c r="O9" s="108" t="s">
        <v>69</v>
      </c>
      <c r="P9" s="108" t="s">
        <v>70</v>
      </c>
      <c r="Q9" s="134"/>
      <c r="R9" s="134"/>
      <c r="S9" s="134"/>
      <c r="T9" s="134"/>
      <c r="U9" s="134"/>
      <c r="V9" s="134"/>
      <c r="W9" s="134"/>
      <c r="X9" s="134"/>
      <c r="Y9" s="134"/>
    </row>
    <row r="10" spans="1:25" x14ac:dyDescent="0.4">
      <c r="A10" s="133" t="s">
        <v>71</v>
      </c>
      <c r="B10" s="108" t="s">
        <v>72</v>
      </c>
      <c r="C10" s="108" t="s">
        <v>72</v>
      </c>
      <c r="D10" s="108" t="s">
        <v>73</v>
      </c>
      <c r="E10" s="108" t="s">
        <v>72</v>
      </c>
      <c r="F10" s="108"/>
      <c r="G10" s="108"/>
      <c r="H10" s="108"/>
      <c r="I10" s="108"/>
      <c r="J10" s="108"/>
      <c r="K10" s="108"/>
      <c r="L10" s="108" t="s">
        <v>73</v>
      </c>
      <c r="M10" s="108" t="s">
        <v>74</v>
      </c>
      <c r="N10" s="108" t="s">
        <v>75</v>
      </c>
      <c r="O10" s="108" t="s">
        <v>75</v>
      </c>
      <c r="P10" s="108" t="s">
        <v>74</v>
      </c>
      <c r="Q10" s="134"/>
      <c r="R10" s="134"/>
      <c r="S10" s="134"/>
      <c r="T10" s="134"/>
      <c r="U10" s="134"/>
      <c r="V10" s="134"/>
      <c r="W10" s="134"/>
      <c r="X10" s="134"/>
      <c r="Y10" s="134"/>
    </row>
    <row r="11" spans="1:25" x14ac:dyDescent="0.4">
      <c r="A11" s="133" t="s">
        <v>76</v>
      </c>
      <c r="B11" s="1" t="s">
        <v>77</v>
      </c>
      <c r="C11" s="1" t="s">
        <v>77</v>
      </c>
      <c r="D11" s="1" t="s">
        <v>77</v>
      </c>
      <c r="E11" s="1" t="s">
        <v>77</v>
      </c>
      <c r="F11" s="108"/>
      <c r="G11" s="108"/>
      <c r="H11" s="108" t="s">
        <v>78</v>
      </c>
      <c r="I11" s="108" t="s">
        <v>79</v>
      </c>
      <c r="J11" s="108" t="s">
        <v>80</v>
      </c>
      <c r="K11" s="108" t="s">
        <v>79</v>
      </c>
      <c r="L11" s="108" t="s">
        <v>78</v>
      </c>
      <c r="M11" s="108" t="s">
        <v>80</v>
      </c>
      <c r="N11" s="108" t="s">
        <v>80</v>
      </c>
      <c r="O11" s="108" t="s">
        <v>78</v>
      </c>
      <c r="P11" s="108" t="s">
        <v>79</v>
      </c>
      <c r="Q11" s="134"/>
      <c r="R11" s="134"/>
      <c r="S11" s="134"/>
      <c r="T11" s="134"/>
      <c r="U11" s="134"/>
      <c r="V11" s="134"/>
      <c r="W11" s="134"/>
      <c r="X11" s="134"/>
      <c r="Y11" s="134"/>
    </row>
    <row r="12" spans="1:25" x14ac:dyDescent="0.4">
      <c r="A12" s="133" t="s">
        <v>81</v>
      </c>
      <c r="B12" s="108" t="s">
        <v>82</v>
      </c>
      <c r="C12" s="108" t="s">
        <v>82</v>
      </c>
      <c r="D12" s="108" t="s">
        <v>82</v>
      </c>
      <c r="E12" s="108" t="s">
        <v>82</v>
      </c>
      <c r="F12" s="108" t="s">
        <v>83</v>
      </c>
      <c r="G12" s="108" t="s">
        <v>84</v>
      </c>
      <c r="H12" s="108" t="s">
        <v>83</v>
      </c>
      <c r="I12" s="108" t="s">
        <v>84</v>
      </c>
      <c r="J12" s="108" t="s">
        <v>83</v>
      </c>
      <c r="K12" s="108" t="s">
        <v>84</v>
      </c>
      <c r="L12" s="108" t="s">
        <v>83</v>
      </c>
      <c r="M12" s="108" t="s">
        <v>84</v>
      </c>
      <c r="N12" s="108" t="s">
        <v>83</v>
      </c>
      <c r="O12" s="108" t="s">
        <v>84</v>
      </c>
      <c r="P12" s="108" t="s">
        <v>83</v>
      </c>
      <c r="Q12" s="134"/>
      <c r="R12" s="134"/>
      <c r="S12" s="134"/>
      <c r="T12" s="134"/>
      <c r="U12" s="134"/>
      <c r="V12" s="134"/>
      <c r="W12" s="134"/>
      <c r="X12" s="134"/>
      <c r="Y12" s="134"/>
    </row>
    <row r="13" spans="1:25" x14ac:dyDescent="0.4">
      <c r="A13" s="133" t="s">
        <v>85</v>
      </c>
      <c r="B13" s="135" t="s">
        <v>86</v>
      </c>
      <c r="C13" s="135" t="s">
        <v>86</v>
      </c>
      <c r="D13" s="135" t="s">
        <v>86</v>
      </c>
      <c r="E13" s="135" t="s">
        <v>86</v>
      </c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34"/>
      <c r="R13" s="134"/>
      <c r="S13" s="134"/>
      <c r="T13" s="134"/>
      <c r="U13" s="134"/>
      <c r="V13" s="134"/>
      <c r="W13" s="134"/>
      <c r="X13" s="134"/>
      <c r="Y13" s="134"/>
    </row>
    <row r="14" spans="1:25" x14ac:dyDescent="0.4">
      <c r="A14" s="136" t="s">
        <v>87</v>
      </c>
      <c r="B14" s="108" t="s">
        <v>88</v>
      </c>
      <c r="C14" s="108" t="s">
        <v>88</v>
      </c>
      <c r="D14" s="108" t="s">
        <v>88</v>
      </c>
      <c r="E14" s="108" t="s">
        <v>88</v>
      </c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34"/>
      <c r="R14" s="134"/>
      <c r="S14" s="134"/>
      <c r="T14" s="134"/>
      <c r="U14" s="134"/>
      <c r="V14" s="134"/>
      <c r="W14" s="134"/>
      <c r="X14" s="134"/>
      <c r="Y14" s="134"/>
    </row>
    <row r="15" spans="1:25" x14ac:dyDescent="0.4">
      <c r="A15" s="136" t="s">
        <v>89</v>
      </c>
      <c r="B15" s="108" t="s">
        <v>90</v>
      </c>
      <c r="C15" s="108" t="s">
        <v>90</v>
      </c>
      <c r="D15" s="108" t="s">
        <v>90</v>
      </c>
      <c r="E15" s="108" t="s">
        <v>90</v>
      </c>
      <c r="F15" s="108" t="s">
        <v>91</v>
      </c>
      <c r="G15" s="108" t="s">
        <v>90</v>
      </c>
      <c r="H15" s="108" t="s">
        <v>91</v>
      </c>
      <c r="I15" s="108" t="s">
        <v>90</v>
      </c>
      <c r="J15" s="108" t="s">
        <v>91</v>
      </c>
      <c r="K15" s="108" t="s">
        <v>90</v>
      </c>
      <c r="L15" s="108" t="s">
        <v>91</v>
      </c>
      <c r="M15" s="108" t="s">
        <v>90</v>
      </c>
      <c r="N15" s="108" t="s">
        <v>91</v>
      </c>
      <c r="O15" s="108" t="s">
        <v>90</v>
      </c>
      <c r="P15" s="108" t="s">
        <v>91</v>
      </c>
      <c r="Q15" s="134"/>
      <c r="R15" s="134"/>
      <c r="S15" s="134"/>
      <c r="T15" s="134"/>
      <c r="U15" s="134"/>
      <c r="V15" s="134"/>
      <c r="W15" s="134"/>
      <c r="X15" s="134"/>
      <c r="Y15" s="134"/>
    </row>
    <row r="16" spans="1:25" x14ac:dyDescent="0.4">
      <c r="A16" s="133" t="s">
        <v>92</v>
      </c>
      <c r="B16" s="108"/>
      <c r="C16" s="108"/>
      <c r="D16" s="108"/>
      <c r="E16" s="108"/>
      <c r="F16" s="108" t="s">
        <v>91</v>
      </c>
      <c r="G16" s="108" t="s">
        <v>91</v>
      </c>
      <c r="H16" s="108" t="s">
        <v>91</v>
      </c>
      <c r="I16" s="108" t="s">
        <v>91</v>
      </c>
      <c r="J16" s="108" t="s">
        <v>91</v>
      </c>
      <c r="K16" s="108" t="s">
        <v>91</v>
      </c>
      <c r="L16" s="108" t="s">
        <v>91</v>
      </c>
      <c r="M16" s="108" t="s">
        <v>91</v>
      </c>
      <c r="N16" s="108" t="s">
        <v>91</v>
      </c>
      <c r="O16" s="108" t="s">
        <v>91</v>
      </c>
      <c r="P16" s="108" t="s">
        <v>91</v>
      </c>
      <c r="Q16" s="134"/>
      <c r="R16" s="134"/>
      <c r="S16" s="134"/>
      <c r="T16" s="134"/>
      <c r="U16" s="134"/>
      <c r="V16" s="134"/>
      <c r="W16" s="134"/>
      <c r="X16" s="134"/>
      <c r="Y16" s="134"/>
    </row>
    <row r="17" spans="1:25" x14ac:dyDescent="0.4">
      <c r="A17" s="136" t="s">
        <v>93</v>
      </c>
      <c r="B17" s="108" t="s">
        <v>35</v>
      </c>
      <c r="C17" s="108" t="s">
        <v>68</v>
      </c>
      <c r="D17" s="135" t="s">
        <v>94</v>
      </c>
      <c r="E17" s="108" t="s">
        <v>82</v>
      </c>
      <c r="F17" s="108" t="s">
        <v>61</v>
      </c>
      <c r="G17" s="108" t="s">
        <v>65</v>
      </c>
      <c r="H17" s="108" t="s">
        <v>31</v>
      </c>
      <c r="I17" s="108" t="s">
        <v>40</v>
      </c>
      <c r="J17" s="108" t="s">
        <v>29</v>
      </c>
      <c r="K17" s="108" t="s">
        <v>41</v>
      </c>
      <c r="L17" s="108" t="s">
        <v>84</v>
      </c>
      <c r="M17" s="108" t="s">
        <v>46</v>
      </c>
      <c r="N17" s="108" t="s">
        <v>33</v>
      </c>
      <c r="O17" s="108" t="s">
        <v>45</v>
      </c>
      <c r="P17" s="108" t="s">
        <v>74</v>
      </c>
      <c r="Q17" s="134"/>
      <c r="R17" s="134"/>
      <c r="S17" s="134"/>
      <c r="T17" s="134"/>
      <c r="U17" s="134"/>
      <c r="V17" s="134"/>
      <c r="W17" s="134"/>
      <c r="X17" s="134"/>
      <c r="Y17" s="134"/>
    </row>
    <row r="18" spans="1:25" x14ac:dyDescent="0.4">
      <c r="A18" s="133" t="s">
        <v>95</v>
      </c>
      <c r="B18" s="134"/>
      <c r="C18" s="134"/>
      <c r="D18" s="134"/>
      <c r="E18" s="134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34"/>
      <c r="R18" s="134"/>
      <c r="S18" s="134"/>
      <c r="T18" s="134"/>
      <c r="U18" s="134"/>
      <c r="V18" s="134"/>
      <c r="W18" s="134"/>
      <c r="X18" s="134"/>
      <c r="Y18" s="134"/>
    </row>
    <row r="19" spans="1:25" x14ac:dyDescent="0.4">
      <c r="A19" s="133" t="s">
        <v>96</v>
      </c>
      <c r="B19" s="108" t="s">
        <v>27</v>
      </c>
      <c r="C19" s="108" t="s">
        <v>28</v>
      </c>
      <c r="D19" s="108" t="s">
        <v>27</v>
      </c>
      <c r="E19" s="108" t="s">
        <v>28</v>
      </c>
      <c r="F19" s="108" t="s">
        <v>29</v>
      </c>
      <c r="G19" s="108" t="s">
        <v>30</v>
      </c>
      <c r="H19" s="108" t="s">
        <v>31</v>
      </c>
      <c r="I19" s="108" t="s">
        <v>32</v>
      </c>
      <c r="J19" s="108" t="s">
        <v>29</v>
      </c>
      <c r="K19" s="108" t="s">
        <v>33</v>
      </c>
      <c r="L19" s="108" t="s">
        <v>32</v>
      </c>
      <c r="M19" s="108" t="s">
        <v>31</v>
      </c>
      <c r="N19" s="108" t="s">
        <v>33</v>
      </c>
      <c r="O19" s="108" t="s">
        <v>30</v>
      </c>
      <c r="P19" s="108" t="s">
        <v>32</v>
      </c>
      <c r="Q19" s="134"/>
      <c r="R19" s="134"/>
      <c r="S19" s="134"/>
      <c r="T19" s="134"/>
      <c r="U19" s="134"/>
      <c r="V19" s="134"/>
      <c r="W19" s="134"/>
      <c r="X19" s="134"/>
      <c r="Y19" s="134"/>
    </row>
    <row r="20" spans="1:25" x14ac:dyDescent="0.4">
      <c r="A20" s="133" t="s">
        <v>97</v>
      </c>
      <c r="B20" s="108" t="s">
        <v>35</v>
      </c>
      <c r="C20" s="108" t="s">
        <v>36</v>
      </c>
      <c r="D20" s="108" t="s">
        <v>36</v>
      </c>
      <c r="E20" s="108" t="s">
        <v>35</v>
      </c>
      <c r="F20" s="108" t="s">
        <v>37</v>
      </c>
      <c r="G20" s="108" t="s">
        <v>38</v>
      </c>
      <c r="H20" s="108" t="s">
        <v>39</v>
      </c>
      <c r="I20" s="108" t="s">
        <v>40</v>
      </c>
      <c r="J20" s="108" t="s">
        <v>37</v>
      </c>
      <c r="K20" s="108" t="s">
        <v>41</v>
      </c>
      <c r="L20" s="108" t="s">
        <v>39</v>
      </c>
      <c r="M20" s="108" t="s">
        <v>41</v>
      </c>
      <c r="N20" s="108" t="s">
        <v>39</v>
      </c>
      <c r="O20" s="108" t="s">
        <v>38</v>
      </c>
      <c r="P20" s="108" t="s">
        <v>40</v>
      </c>
      <c r="Q20" s="134"/>
      <c r="R20" s="134"/>
      <c r="S20" s="134"/>
      <c r="T20" s="134"/>
      <c r="U20" s="134"/>
      <c r="V20" s="134"/>
      <c r="W20" s="134"/>
      <c r="X20" s="134"/>
      <c r="Y20" s="134"/>
    </row>
    <row r="21" spans="1:25" ht="25.5" x14ac:dyDescent="0.4">
      <c r="A21" s="133" t="s">
        <v>98</v>
      </c>
      <c r="B21" s="135" t="s">
        <v>43</v>
      </c>
      <c r="C21" s="135" t="s">
        <v>43</v>
      </c>
      <c r="D21" s="135" t="s">
        <v>43</v>
      </c>
      <c r="E21" s="135" t="s">
        <v>43</v>
      </c>
      <c r="F21" s="108" t="s">
        <v>44</v>
      </c>
      <c r="G21" s="108" t="s">
        <v>45</v>
      </c>
      <c r="H21" s="108" t="s">
        <v>46</v>
      </c>
      <c r="I21" s="108" t="s">
        <v>47</v>
      </c>
      <c r="J21" s="108" t="s">
        <v>44</v>
      </c>
      <c r="K21" s="108" t="s">
        <v>48</v>
      </c>
      <c r="L21" s="108" t="s">
        <v>49</v>
      </c>
      <c r="M21" s="108" t="s">
        <v>50</v>
      </c>
      <c r="N21" s="108" t="s">
        <v>51</v>
      </c>
      <c r="O21" s="108" t="s">
        <v>52</v>
      </c>
      <c r="P21" s="108" t="s">
        <v>53</v>
      </c>
      <c r="Q21" s="134"/>
      <c r="R21" s="134"/>
      <c r="S21" s="134"/>
      <c r="T21" s="134"/>
      <c r="U21" s="134"/>
      <c r="V21" s="134"/>
      <c r="W21" s="134"/>
      <c r="X21" s="134"/>
      <c r="Y21" s="134"/>
    </row>
    <row r="22" spans="1:25" x14ac:dyDescent="0.4">
      <c r="A22" s="133" t="s">
        <v>99</v>
      </c>
      <c r="B22" s="108" t="s">
        <v>55</v>
      </c>
      <c r="C22" s="108" t="s">
        <v>56</v>
      </c>
      <c r="D22" s="108" t="s">
        <v>56</v>
      </c>
      <c r="E22" s="108" t="s">
        <v>55</v>
      </c>
      <c r="F22" s="108" t="s">
        <v>57</v>
      </c>
      <c r="G22" s="108" t="s">
        <v>57</v>
      </c>
      <c r="H22" s="108" t="s">
        <v>57</v>
      </c>
      <c r="I22" s="108" t="s">
        <v>55</v>
      </c>
      <c r="J22" s="108"/>
      <c r="K22" s="108"/>
      <c r="L22" s="108"/>
      <c r="M22" s="108"/>
      <c r="N22" s="108"/>
      <c r="O22" s="108"/>
      <c r="P22" s="108"/>
      <c r="Q22" s="134"/>
      <c r="R22" s="134"/>
      <c r="S22" s="134"/>
      <c r="T22" s="134"/>
      <c r="U22" s="134"/>
      <c r="V22" s="134"/>
      <c r="W22" s="134"/>
      <c r="X22" s="134"/>
      <c r="Y22" s="134"/>
    </row>
    <row r="23" spans="1:25" x14ac:dyDescent="0.4">
      <c r="A23" s="133" t="s">
        <v>100</v>
      </c>
      <c r="B23" s="108" t="s">
        <v>59</v>
      </c>
      <c r="C23" s="108" t="s">
        <v>60</v>
      </c>
      <c r="D23" s="108" t="s">
        <v>60</v>
      </c>
      <c r="E23" s="108" t="s">
        <v>59</v>
      </c>
      <c r="F23" s="108" t="s">
        <v>61</v>
      </c>
      <c r="G23" s="108" t="s">
        <v>61</v>
      </c>
      <c r="H23" s="108" t="s">
        <v>59</v>
      </c>
      <c r="I23" s="108" t="s">
        <v>60</v>
      </c>
      <c r="J23" s="108"/>
      <c r="K23" s="108"/>
      <c r="L23" s="108"/>
      <c r="M23" s="108"/>
      <c r="N23" s="108"/>
      <c r="O23" s="108"/>
      <c r="P23" s="108"/>
      <c r="Q23" s="134"/>
      <c r="R23" s="134"/>
      <c r="S23" s="134"/>
      <c r="T23" s="134"/>
      <c r="U23" s="134"/>
      <c r="V23" s="134"/>
      <c r="W23" s="134"/>
      <c r="X23" s="134"/>
      <c r="Y23" s="134"/>
    </row>
    <row r="24" spans="1:25" x14ac:dyDescent="0.4">
      <c r="A24" s="133" t="s">
        <v>101</v>
      </c>
      <c r="B24" s="108" t="s">
        <v>63</v>
      </c>
      <c r="C24" s="108" t="s">
        <v>63</v>
      </c>
      <c r="D24" s="108" t="s">
        <v>63</v>
      </c>
      <c r="E24" s="108" t="s">
        <v>63</v>
      </c>
      <c r="F24" s="108" t="s">
        <v>64</v>
      </c>
      <c r="G24" s="108" t="s">
        <v>65</v>
      </c>
      <c r="H24" s="108"/>
      <c r="I24" s="108"/>
      <c r="J24" s="108" t="s">
        <v>64</v>
      </c>
      <c r="K24" s="108" t="s">
        <v>65</v>
      </c>
      <c r="L24" s="108"/>
      <c r="M24" s="108"/>
      <c r="N24" s="108"/>
      <c r="O24" s="108"/>
      <c r="P24" s="108"/>
      <c r="Q24" s="134"/>
      <c r="R24" s="134"/>
      <c r="S24" s="134"/>
      <c r="T24" s="134"/>
      <c r="U24" s="134"/>
      <c r="V24" s="134"/>
      <c r="W24" s="134"/>
      <c r="X24" s="134"/>
      <c r="Y24" s="134"/>
    </row>
    <row r="25" spans="1:25" x14ac:dyDescent="0.4">
      <c r="A25" s="133" t="s">
        <v>102</v>
      </c>
      <c r="B25" s="108" t="s">
        <v>67</v>
      </c>
      <c r="C25" s="108" t="s">
        <v>68</v>
      </c>
      <c r="D25" s="108" t="s">
        <v>67</v>
      </c>
      <c r="E25" s="108" t="s">
        <v>67</v>
      </c>
      <c r="F25" s="108"/>
      <c r="G25" s="108"/>
      <c r="H25" s="108"/>
      <c r="I25" s="108"/>
      <c r="J25" s="108" t="s">
        <v>68</v>
      </c>
      <c r="K25" s="108" t="s">
        <v>69</v>
      </c>
      <c r="L25" s="108" t="s">
        <v>68</v>
      </c>
      <c r="M25" s="108" t="s">
        <v>69</v>
      </c>
      <c r="N25" s="108" t="s">
        <v>70</v>
      </c>
      <c r="O25" s="108" t="s">
        <v>69</v>
      </c>
      <c r="P25" s="108" t="s">
        <v>70</v>
      </c>
      <c r="Q25" s="134"/>
      <c r="R25" s="134"/>
      <c r="S25" s="134"/>
      <c r="T25" s="134"/>
      <c r="U25" s="134"/>
      <c r="V25" s="134"/>
      <c r="W25" s="134"/>
      <c r="X25" s="134"/>
      <c r="Y25" s="134"/>
    </row>
    <row r="26" spans="1:25" x14ac:dyDescent="0.4">
      <c r="A26" s="133" t="s">
        <v>103</v>
      </c>
      <c r="B26" s="108" t="s">
        <v>72</v>
      </c>
      <c r="C26" s="108" t="s">
        <v>72</v>
      </c>
      <c r="D26" s="108" t="s">
        <v>73</v>
      </c>
      <c r="E26" s="108" t="s">
        <v>72</v>
      </c>
      <c r="F26" s="108"/>
      <c r="G26" s="108"/>
      <c r="H26" s="108"/>
      <c r="I26" s="108"/>
      <c r="J26" s="108"/>
      <c r="K26" s="108"/>
      <c r="L26" s="108" t="s">
        <v>73</v>
      </c>
      <c r="M26" s="108" t="s">
        <v>74</v>
      </c>
      <c r="N26" s="108" t="s">
        <v>75</v>
      </c>
      <c r="O26" s="108" t="s">
        <v>75</v>
      </c>
      <c r="P26" s="108" t="s">
        <v>74</v>
      </c>
      <c r="Q26" s="134"/>
      <c r="R26" s="134"/>
      <c r="S26" s="134"/>
      <c r="T26" s="134"/>
      <c r="U26" s="134"/>
      <c r="V26" s="134"/>
      <c r="W26" s="134"/>
      <c r="X26" s="134"/>
      <c r="Y26" s="134"/>
    </row>
    <row r="27" spans="1:25" x14ac:dyDescent="0.4">
      <c r="A27" s="137" t="s">
        <v>104</v>
      </c>
      <c r="B27" s="1" t="s">
        <v>77</v>
      </c>
      <c r="C27" s="1" t="s">
        <v>77</v>
      </c>
      <c r="D27" s="1" t="s">
        <v>77</v>
      </c>
      <c r="E27" s="1" t="s">
        <v>77</v>
      </c>
      <c r="F27" s="108"/>
      <c r="G27" s="108"/>
      <c r="H27" s="108" t="s">
        <v>78</v>
      </c>
      <c r="I27" s="108" t="s">
        <v>79</v>
      </c>
      <c r="J27" s="108" t="s">
        <v>80</v>
      </c>
      <c r="K27" s="108" t="s">
        <v>79</v>
      </c>
      <c r="L27" s="108" t="s">
        <v>78</v>
      </c>
      <c r="M27" s="108" t="s">
        <v>80</v>
      </c>
      <c r="N27" s="108" t="s">
        <v>80</v>
      </c>
      <c r="O27" s="108" t="s">
        <v>78</v>
      </c>
      <c r="P27" s="108" t="s">
        <v>79</v>
      </c>
      <c r="Q27" s="134"/>
      <c r="R27" s="134"/>
      <c r="S27" s="134"/>
      <c r="T27" s="134"/>
      <c r="U27" s="134"/>
      <c r="V27" s="134"/>
      <c r="W27" s="134"/>
      <c r="X27" s="134"/>
      <c r="Y27" s="134"/>
    </row>
    <row r="28" spans="1:25" x14ac:dyDescent="0.4">
      <c r="A28" s="136" t="s">
        <v>105</v>
      </c>
      <c r="B28" s="108" t="s">
        <v>72</v>
      </c>
      <c r="C28" s="108" t="s">
        <v>72</v>
      </c>
      <c r="D28" s="108" t="s">
        <v>67</v>
      </c>
      <c r="E28" s="108" t="s">
        <v>67</v>
      </c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34"/>
      <c r="R28" s="134"/>
      <c r="S28" s="134"/>
      <c r="T28" s="134"/>
      <c r="U28" s="134"/>
      <c r="V28" s="134"/>
      <c r="W28" s="134"/>
      <c r="X28" s="134"/>
      <c r="Y28" s="134"/>
    </row>
    <row r="29" spans="1:25" x14ac:dyDescent="0.4">
      <c r="A29" s="136" t="s">
        <v>106</v>
      </c>
      <c r="B29" s="108" t="s">
        <v>56</v>
      </c>
      <c r="C29" s="108" t="s">
        <v>56</v>
      </c>
      <c r="D29" s="108" t="s">
        <v>59</v>
      </c>
      <c r="E29" s="108" t="s">
        <v>60</v>
      </c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34"/>
      <c r="R29" s="134"/>
      <c r="S29" s="134"/>
      <c r="T29" s="134"/>
      <c r="U29" s="134"/>
      <c r="V29" s="134"/>
      <c r="W29" s="134"/>
      <c r="X29" s="134"/>
      <c r="Y29" s="134"/>
    </row>
    <row r="30" spans="1:25" x14ac:dyDescent="0.4">
      <c r="A30" s="136" t="s">
        <v>107</v>
      </c>
      <c r="B30" s="1" t="s">
        <v>77</v>
      </c>
      <c r="C30" s="1" t="s">
        <v>77</v>
      </c>
      <c r="D30" s="108" t="s">
        <v>65</v>
      </c>
      <c r="E30" s="108" t="s">
        <v>64</v>
      </c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34"/>
      <c r="R30" s="134"/>
      <c r="S30" s="134"/>
      <c r="T30" s="134"/>
      <c r="U30" s="134"/>
      <c r="V30" s="134"/>
      <c r="W30" s="134"/>
      <c r="X30" s="134"/>
      <c r="Y30" s="134"/>
    </row>
    <row r="31" spans="1:25" ht="25.5" x14ac:dyDescent="0.4">
      <c r="A31" s="136" t="s">
        <v>108</v>
      </c>
      <c r="B31" s="1" t="s">
        <v>43</v>
      </c>
      <c r="C31" s="1" t="s">
        <v>43</v>
      </c>
      <c r="D31" s="108" t="s">
        <v>43</v>
      </c>
      <c r="E31" s="108" t="s">
        <v>43</v>
      </c>
      <c r="F31" s="108" t="s">
        <v>44</v>
      </c>
      <c r="G31" s="108" t="s">
        <v>45</v>
      </c>
      <c r="H31" s="108" t="s">
        <v>46</v>
      </c>
      <c r="I31" s="108" t="s">
        <v>47</v>
      </c>
      <c r="J31" s="108" t="s">
        <v>44</v>
      </c>
      <c r="K31" s="108" t="s">
        <v>48</v>
      </c>
      <c r="L31" s="108" t="s">
        <v>49</v>
      </c>
      <c r="M31" s="108" t="s">
        <v>50</v>
      </c>
      <c r="N31" s="108" t="s">
        <v>51</v>
      </c>
      <c r="O31" s="108" t="s">
        <v>52</v>
      </c>
      <c r="P31" s="108" t="s">
        <v>53</v>
      </c>
      <c r="Q31" s="134"/>
      <c r="R31" s="134"/>
      <c r="S31" s="134"/>
      <c r="T31" s="134"/>
      <c r="U31" s="134"/>
      <c r="V31" s="134"/>
      <c r="W31" s="134"/>
      <c r="X31" s="134"/>
      <c r="Y31" s="134"/>
    </row>
    <row r="32" spans="1:25" x14ac:dyDescent="0.4">
      <c r="A32" s="136" t="s">
        <v>109</v>
      </c>
      <c r="B32" s="108" t="s">
        <v>27</v>
      </c>
      <c r="C32" s="108" t="s">
        <v>28</v>
      </c>
      <c r="D32" s="108" t="s">
        <v>27</v>
      </c>
      <c r="E32" s="108" t="s">
        <v>28</v>
      </c>
      <c r="F32" s="108" t="s">
        <v>29</v>
      </c>
      <c r="G32" s="108" t="s">
        <v>30</v>
      </c>
      <c r="H32" s="108" t="s">
        <v>31</v>
      </c>
      <c r="I32" s="108" t="s">
        <v>32</v>
      </c>
      <c r="J32" s="108" t="s">
        <v>29</v>
      </c>
      <c r="K32" s="108" t="s">
        <v>33</v>
      </c>
      <c r="L32" s="108" t="s">
        <v>32</v>
      </c>
      <c r="M32" s="108" t="s">
        <v>31</v>
      </c>
      <c r="N32" s="108" t="s">
        <v>33</v>
      </c>
      <c r="O32" s="108" t="s">
        <v>30</v>
      </c>
      <c r="P32" s="108" t="s">
        <v>32</v>
      </c>
      <c r="Q32" s="134"/>
      <c r="R32" s="134"/>
      <c r="S32" s="134"/>
      <c r="T32" s="134"/>
      <c r="U32" s="134"/>
      <c r="V32" s="134"/>
      <c r="W32" s="134"/>
      <c r="X32" s="134"/>
      <c r="Y32" s="134"/>
    </row>
    <row r="33" spans="1:25" ht="25.5" x14ac:dyDescent="0.4">
      <c r="A33" s="136" t="s">
        <v>110</v>
      </c>
      <c r="B33" s="135" t="s">
        <v>43</v>
      </c>
      <c r="C33" s="135" t="s">
        <v>43</v>
      </c>
      <c r="D33" s="135" t="s">
        <v>43</v>
      </c>
      <c r="E33" s="135" t="s">
        <v>43</v>
      </c>
      <c r="F33" s="108" t="s">
        <v>44</v>
      </c>
      <c r="G33" s="108" t="s">
        <v>45</v>
      </c>
      <c r="H33" s="108" t="s">
        <v>46</v>
      </c>
      <c r="I33" s="108" t="s">
        <v>47</v>
      </c>
      <c r="J33" s="108" t="s">
        <v>44</v>
      </c>
      <c r="K33" s="108" t="s">
        <v>48</v>
      </c>
      <c r="L33" s="108" t="s">
        <v>49</v>
      </c>
      <c r="M33" s="108" t="s">
        <v>50</v>
      </c>
      <c r="N33" s="108" t="s">
        <v>51</v>
      </c>
      <c r="O33" s="108" t="s">
        <v>52</v>
      </c>
      <c r="P33" s="108" t="s">
        <v>53</v>
      </c>
      <c r="Q33" s="134"/>
      <c r="R33" s="134"/>
      <c r="S33" s="134"/>
      <c r="T33" s="134"/>
      <c r="U33" s="134"/>
      <c r="V33" s="134"/>
      <c r="W33" s="134"/>
      <c r="X33" s="134"/>
      <c r="Y33" s="134"/>
    </row>
    <row r="34" spans="1:25" x14ac:dyDescent="0.4">
      <c r="A34" s="136" t="s">
        <v>111</v>
      </c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34"/>
      <c r="R34" s="134"/>
      <c r="S34" s="134"/>
      <c r="T34" s="134"/>
      <c r="U34" s="134"/>
      <c r="V34" s="134"/>
      <c r="W34" s="134"/>
      <c r="X34" s="134"/>
      <c r="Y34" s="134"/>
    </row>
    <row r="35" spans="1:25" x14ac:dyDescent="0.4">
      <c r="A35" s="136" t="s">
        <v>112</v>
      </c>
      <c r="B35" s="135"/>
      <c r="C35" s="135"/>
      <c r="D35" s="135"/>
      <c r="E35" s="135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34"/>
      <c r="R35" s="134"/>
      <c r="S35" s="134"/>
      <c r="T35" s="134"/>
      <c r="U35" s="134"/>
      <c r="V35" s="134"/>
      <c r="W35" s="134"/>
      <c r="X35" s="134"/>
      <c r="Y35" s="134"/>
    </row>
    <row r="36" spans="1:25" x14ac:dyDescent="0.4">
      <c r="A36" s="136" t="s">
        <v>113</v>
      </c>
      <c r="B36" s="134"/>
      <c r="C36" s="134"/>
      <c r="D36" s="134"/>
      <c r="E36" s="134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34"/>
      <c r="R36" s="134"/>
      <c r="S36" s="134"/>
      <c r="T36" s="134"/>
      <c r="U36" s="134"/>
      <c r="V36" s="134"/>
      <c r="W36" s="134"/>
      <c r="X36" s="134"/>
      <c r="Y36" s="134"/>
    </row>
    <row r="37" spans="1:25" x14ac:dyDescent="0.4">
      <c r="A37" s="136" t="s">
        <v>114</v>
      </c>
      <c r="B37" s="134"/>
      <c r="C37" s="134"/>
      <c r="D37" s="134"/>
      <c r="E37" s="134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34"/>
      <c r="R37" s="134"/>
      <c r="S37" s="134"/>
      <c r="T37" s="134"/>
      <c r="U37" s="134"/>
      <c r="V37" s="134"/>
      <c r="W37" s="134"/>
      <c r="X37" s="134"/>
      <c r="Y37" s="134"/>
    </row>
    <row r="38" spans="1:25" x14ac:dyDescent="0.4">
      <c r="A38" s="136" t="s">
        <v>115</v>
      </c>
      <c r="B38" s="134"/>
      <c r="C38" s="134"/>
      <c r="D38" s="134"/>
      <c r="E38" s="134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34"/>
      <c r="R38" s="134"/>
      <c r="S38" s="134"/>
      <c r="T38" s="134"/>
      <c r="U38" s="134"/>
      <c r="V38" s="134"/>
      <c r="W38" s="134"/>
      <c r="X38" s="134"/>
      <c r="Y38" s="134"/>
    </row>
    <row r="39" spans="1:25" x14ac:dyDescent="0.4">
      <c r="A39" s="136" t="s">
        <v>116</v>
      </c>
      <c r="B39" s="134"/>
      <c r="C39" s="134"/>
      <c r="D39" s="134"/>
      <c r="E39" s="134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34"/>
      <c r="R39" s="134"/>
      <c r="S39" s="134"/>
      <c r="T39" s="134"/>
      <c r="U39" s="134"/>
      <c r="V39" s="134"/>
      <c r="W39" s="134"/>
      <c r="X39" s="134"/>
      <c r="Y39" s="134"/>
    </row>
    <row r="40" spans="1:25" x14ac:dyDescent="0.4">
      <c r="A40" s="136" t="s">
        <v>117</v>
      </c>
      <c r="B40" s="134"/>
      <c r="C40" s="134"/>
      <c r="D40" s="134"/>
      <c r="E40" s="134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34"/>
      <c r="R40" s="134"/>
      <c r="S40" s="134"/>
      <c r="T40" s="134"/>
      <c r="U40" s="134"/>
      <c r="V40" s="134"/>
      <c r="W40" s="134"/>
      <c r="X40" s="134"/>
      <c r="Y40" s="134"/>
    </row>
    <row r="41" spans="1:25" x14ac:dyDescent="0.4">
      <c r="A41" s="133" t="s">
        <v>118</v>
      </c>
      <c r="B41" s="108" t="s">
        <v>27</v>
      </c>
      <c r="C41" s="108" t="s">
        <v>28</v>
      </c>
      <c r="D41" s="108" t="s">
        <v>27</v>
      </c>
      <c r="E41" s="108" t="s">
        <v>28</v>
      </c>
      <c r="F41" s="108" t="s">
        <v>29</v>
      </c>
      <c r="G41" s="108" t="s">
        <v>30</v>
      </c>
      <c r="H41" s="108" t="s">
        <v>31</v>
      </c>
      <c r="I41" s="108" t="s">
        <v>32</v>
      </c>
      <c r="J41" s="108" t="s">
        <v>29</v>
      </c>
      <c r="K41" s="108" t="s">
        <v>33</v>
      </c>
      <c r="L41" s="108" t="s">
        <v>32</v>
      </c>
      <c r="M41" s="108" t="s">
        <v>31</v>
      </c>
      <c r="N41" s="108" t="s">
        <v>33</v>
      </c>
      <c r="O41" s="108" t="s">
        <v>30</v>
      </c>
      <c r="P41" s="108" t="s">
        <v>32</v>
      </c>
      <c r="Q41" s="134"/>
      <c r="R41" s="134"/>
      <c r="S41" s="134"/>
      <c r="T41" s="134"/>
      <c r="U41" s="134"/>
      <c r="V41" s="134"/>
      <c r="W41" s="134"/>
      <c r="X41" s="134"/>
      <c r="Y41" s="134"/>
    </row>
    <row r="42" spans="1:25" x14ac:dyDescent="0.4">
      <c r="A42" s="133" t="s">
        <v>119</v>
      </c>
      <c r="B42" s="108" t="s">
        <v>35</v>
      </c>
      <c r="C42" s="108" t="s">
        <v>36</v>
      </c>
      <c r="D42" s="108" t="s">
        <v>36</v>
      </c>
      <c r="E42" s="108" t="s">
        <v>35</v>
      </c>
      <c r="F42" s="108" t="s">
        <v>37</v>
      </c>
      <c r="G42" s="108" t="s">
        <v>38</v>
      </c>
      <c r="H42" s="108" t="s">
        <v>39</v>
      </c>
      <c r="I42" s="108" t="s">
        <v>40</v>
      </c>
      <c r="J42" s="108" t="s">
        <v>37</v>
      </c>
      <c r="K42" s="108" t="s">
        <v>41</v>
      </c>
      <c r="L42" s="108" t="s">
        <v>39</v>
      </c>
      <c r="M42" s="108" t="s">
        <v>41</v>
      </c>
      <c r="N42" s="108" t="s">
        <v>39</v>
      </c>
      <c r="O42" s="108" t="s">
        <v>38</v>
      </c>
      <c r="P42" s="108" t="s">
        <v>40</v>
      </c>
      <c r="Q42" s="134"/>
      <c r="R42" s="134"/>
      <c r="S42" s="134"/>
      <c r="T42" s="134"/>
      <c r="U42" s="134"/>
      <c r="V42" s="134"/>
      <c r="W42" s="134"/>
      <c r="X42" s="134"/>
      <c r="Y42" s="134"/>
    </row>
    <row r="43" spans="1:25" ht="25.5" x14ac:dyDescent="0.4">
      <c r="A43" s="133" t="s">
        <v>120</v>
      </c>
      <c r="B43" s="135" t="s">
        <v>43</v>
      </c>
      <c r="C43" s="135" t="s">
        <v>43</v>
      </c>
      <c r="D43" s="135" t="s">
        <v>43</v>
      </c>
      <c r="E43" s="135" t="s">
        <v>43</v>
      </c>
      <c r="F43" s="108" t="s">
        <v>44</v>
      </c>
      <c r="G43" s="108" t="s">
        <v>45</v>
      </c>
      <c r="H43" s="108" t="s">
        <v>46</v>
      </c>
      <c r="I43" s="108" t="s">
        <v>47</v>
      </c>
      <c r="J43" s="108" t="s">
        <v>44</v>
      </c>
      <c r="K43" s="108" t="s">
        <v>48</v>
      </c>
      <c r="L43" s="108" t="s">
        <v>49</v>
      </c>
      <c r="M43" s="108" t="s">
        <v>50</v>
      </c>
      <c r="N43" s="108" t="s">
        <v>51</v>
      </c>
      <c r="O43" s="108" t="s">
        <v>52</v>
      </c>
      <c r="P43" s="108" t="s">
        <v>53</v>
      </c>
      <c r="Q43" s="134"/>
      <c r="R43" s="134"/>
      <c r="S43" s="134"/>
      <c r="T43" s="134"/>
      <c r="U43" s="134"/>
      <c r="V43" s="134"/>
      <c r="W43" s="134"/>
      <c r="X43" s="134"/>
      <c r="Y43" s="134"/>
    </row>
    <row r="44" spans="1:25" x14ac:dyDescent="0.4">
      <c r="A44" s="133" t="s">
        <v>121</v>
      </c>
      <c r="B44" s="108" t="s">
        <v>55</v>
      </c>
      <c r="C44" s="108" t="s">
        <v>56</v>
      </c>
      <c r="D44" s="108" t="s">
        <v>56</v>
      </c>
      <c r="E44" s="108" t="s">
        <v>55</v>
      </c>
      <c r="F44" s="108" t="s">
        <v>57</v>
      </c>
      <c r="G44" s="108" t="s">
        <v>57</v>
      </c>
      <c r="H44" s="108" t="s">
        <v>57</v>
      </c>
      <c r="I44" s="108" t="s">
        <v>55</v>
      </c>
      <c r="J44" s="108"/>
      <c r="K44" s="108"/>
      <c r="L44" s="108"/>
      <c r="M44" s="108"/>
      <c r="N44" s="108"/>
      <c r="O44" s="108"/>
      <c r="P44" s="108"/>
      <c r="Q44" s="134"/>
      <c r="R44" s="134"/>
      <c r="S44" s="134"/>
      <c r="T44" s="134"/>
      <c r="U44" s="134"/>
      <c r="V44" s="134"/>
      <c r="W44" s="134"/>
      <c r="X44" s="134"/>
      <c r="Y44" s="134"/>
    </row>
    <row r="45" spans="1:25" x14ac:dyDescent="0.4">
      <c r="A45" s="133" t="s">
        <v>122</v>
      </c>
      <c r="B45" s="108" t="s">
        <v>59</v>
      </c>
      <c r="C45" s="108" t="s">
        <v>60</v>
      </c>
      <c r="D45" s="108" t="s">
        <v>60</v>
      </c>
      <c r="E45" s="108" t="s">
        <v>59</v>
      </c>
      <c r="F45" s="108" t="s">
        <v>61</v>
      </c>
      <c r="G45" s="108" t="s">
        <v>61</v>
      </c>
      <c r="H45" s="108" t="s">
        <v>59</v>
      </c>
      <c r="I45" s="108" t="s">
        <v>60</v>
      </c>
      <c r="J45" s="108"/>
      <c r="K45" s="108"/>
      <c r="L45" s="108"/>
      <c r="M45" s="108"/>
      <c r="N45" s="108"/>
      <c r="O45" s="108"/>
      <c r="P45" s="108"/>
      <c r="Q45" s="134"/>
      <c r="R45" s="134"/>
      <c r="S45" s="134"/>
      <c r="T45" s="134"/>
      <c r="U45" s="134"/>
      <c r="V45" s="134"/>
      <c r="W45" s="134"/>
      <c r="X45" s="134"/>
      <c r="Y45" s="134"/>
    </row>
    <row r="46" spans="1:25" x14ac:dyDescent="0.4">
      <c r="A46" s="133" t="s">
        <v>123</v>
      </c>
      <c r="B46" s="108" t="s">
        <v>63</v>
      </c>
      <c r="C46" s="108" t="s">
        <v>63</v>
      </c>
      <c r="D46" s="108" t="s">
        <v>63</v>
      </c>
      <c r="E46" s="108" t="s">
        <v>63</v>
      </c>
      <c r="F46" s="108" t="s">
        <v>64</v>
      </c>
      <c r="G46" s="108" t="s">
        <v>65</v>
      </c>
      <c r="H46" s="108"/>
      <c r="I46" s="108"/>
      <c r="J46" s="108" t="s">
        <v>64</v>
      </c>
      <c r="K46" s="108" t="s">
        <v>65</v>
      </c>
      <c r="L46" s="108"/>
      <c r="M46" s="108"/>
      <c r="N46" s="108"/>
      <c r="O46" s="108"/>
      <c r="P46" s="108"/>
      <c r="Q46" s="134"/>
      <c r="R46" s="134"/>
      <c r="S46" s="134"/>
      <c r="T46" s="134"/>
      <c r="U46" s="134"/>
      <c r="V46" s="134"/>
      <c r="W46" s="134"/>
      <c r="X46" s="134"/>
      <c r="Y46" s="134"/>
    </row>
    <row r="47" spans="1:25" x14ac:dyDescent="0.4">
      <c r="A47" s="133" t="s">
        <v>124</v>
      </c>
      <c r="B47" s="108" t="s">
        <v>67</v>
      </c>
      <c r="C47" s="108" t="s">
        <v>68</v>
      </c>
      <c r="D47" s="108" t="s">
        <v>67</v>
      </c>
      <c r="E47" s="108" t="s">
        <v>67</v>
      </c>
      <c r="F47" s="108"/>
      <c r="G47" s="108"/>
      <c r="H47" s="108"/>
      <c r="I47" s="108"/>
      <c r="J47" s="108" t="s">
        <v>68</v>
      </c>
      <c r="K47" s="108" t="s">
        <v>69</v>
      </c>
      <c r="L47" s="108" t="s">
        <v>68</v>
      </c>
      <c r="M47" s="108" t="s">
        <v>69</v>
      </c>
      <c r="N47" s="108" t="s">
        <v>70</v>
      </c>
      <c r="O47" s="108" t="s">
        <v>69</v>
      </c>
      <c r="P47" s="108" t="s">
        <v>70</v>
      </c>
      <c r="Q47" s="134"/>
      <c r="R47" s="134"/>
      <c r="S47" s="134"/>
      <c r="T47" s="134"/>
      <c r="U47" s="134"/>
      <c r="V47" s="134"/>
      <c r="W47" s="134"/>
      <c r="X47" s="134"/>
      <c r="Y47" s="134"/>
    </row>
    <row r="48" spans="1:25" x14ac:dyDescent="0.4">
      <c r="A48" s="133" t="s">
        <v>125</v>
      </c>
      <c r="B48" s="108" t="s">
        <v>72</v>
      </c>
      <c r="C48" s="108" t="s">
        <v>72</v>
      </c>
      <c r="D48" s="108" t="s">
        <v>73</v>
      </c>
      <c r="E48" s="108" t="s">
        <v>72</v>
      </c>
      <c r="F48" s="108"/>
      <c r="G48" s="108"/>
      <c r="H48" s="108"/>
      <c r="I48" s="108"/>
      <c r="J48" s="108"/>
      <c r="K48" s="108"/>
      <c r="L48" s="108" t="s">
        <v>73</v>
      </c>
      <c r="M48" s="108" t="s">
        <v>74</v>
      </c>
      <c r="N48" s="108" t="s">
        <v>75</v>
      </c>
      <c r="O48" s="108" t="s">
        <v>75</v>
      </c>
      <c r="P48" s="108" t="s">
        <v>74</v>
      </c>
      <c r="Q48" s="134"/>
      <c r="R48" s="134"/>
      <c r="S48" s="134"/>
      <c r="T48" s="134"/>
      <c r="U48" s="134"/>
      <c r="V48" s="134"/>
      <c r="W48" s="134"/>
      <c r="X48" s="134"/>
      <c r="Y48" s="134"/>
    </row>
    <row r="49" spans="1:25" x14ac:dyDescent="0.4">
      <c r="A49" s="133" t="s">
        <v>126</v>
      </c>
      <c r="B49" s="1" t="s">
        <v>77</v>
      </c>
      <c r="C49" s="1" t="s">
        <v>77</v>
      </c>
      <c r="D49" s="1" t="s">
        <v>77</v>
      </c>
      <c r="E49" s="1" t="s">
        <v>77</v>
      </c>
      <c r="F49" s="108"/>
      <c r="G49" s="108"/>
      <c r="H49" s="108" t="s">
        <v>78</v>
      </c>
      <c r="I49" s="108" t="s">
        <v>79</v>
      </c>
      <c r="J49" s="108" t="s">
        <v>80</v>
      </c>
      <c r="K49" s="108" t="s">
        <v>79</v>
      </c>
      <c r="L49" s="108" t="s">
        <v>78</v>
      </c>
      <c r="M49" s="108" t="s">
        <v>80</v>
      </c>
      <c r="N49" s="108" t="s">
        <v>80</v>
      </c>
      <c r="O49" s="108" t="s">
        <v>78</v>
      </c>
      <c r="P49" s="108" t="s">
        <v>79</v>
      </c>
      <c r="Q49" s="134"/>
      <c r="R49" s="134"/>
      <c r="S49" s="134"/>
      <c r="T49" s="134"/>
      <c r="U49" s="134"/>
      <c r="V49" s="134"/>
      <c r="W49" s="134"/>
      <c r="X49" s="134"/>
      <c r="Y49" s="134"/>
    </row>
    <row r="50" spans="1:25" x14ac:dyDescent="0.4">
      <c r="A50" s="133" t="s">
        <v>127</v>
      </c>
      <c r="B50" s="108" t="s">
        <v>27</v>
      </c>
      <c r="C50" s="108" t="s">
        <v>28</v>
      </c>
      <c r="D50" s="108" t="s">
        <v>27</v>
      </c>
      <c r="E50" s="108" t="s">
        <v>28</v>
      </c>
      <c r="F50" s="108" t="s">
        <v>29</v>
      </c>
      <c r="G50" s="108" t="s">
        <v>30</v>
      </c>
      <c r="H50" s="108" t="s">
        <v>31</v>
      </c>
      <c r="I50" s="108" t="s">
        <v>32</v>
      </c>
      <c r="J50" s="108" t="s">
        <v>29</v>
      </c>
      <c r="K50" s="108" t="s">
        <v>33</v>
      </c>
      <c r="L50" s="108" t="s">
        <v>32</v>
      </c>
      <c r="M50" s="108" t="s">
        <v>31</v>
      </c>
      <c r="N50" s="108" t="s">
        <v>33</v>
      </c>
      <c r="O50" s="108" t="s">
        <v>30</v>
      </c>
      <c r="P50" s="108" t="s">
        <v>32</v>
      </c>
      <c r="Q50" s="134"/>
      <c r="R50" s="134"/>
      <c r="S50" s="134"/>
      <c r="T50" s="134"/>
      <c r="U50" s="134"/>
      <c r="V50" s="134"/>
      <c r="W50" s="134"/>
      <c r="X50" s="134"/>
      <c r="Y50" s="134"/>
    </row>
    <row r="51" spans="1:25" x14ac:dyDescent="0.4">
      <c r="A51" s="133" t="s">
        <v>128</v>
      </c>
      <c r="B51" s="134"/>
      <c r="C51" s="134"/>
      <c r="D51" s="134"/>
      <c r="E51" s="134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34"/>
      <c r="R51" s="134"/>
      <c r="S51" s="134"/>
      <c r="T51" s="134"/>
      <c r="U51" s="134"/>
      <c r="V51" s="134"/>
      <c r="W51" s="134"/>
      <c r="X51" s="134"/>
      <c r="Y51" s="134"/>
    </row>
    <row r="52" spans="1:25" x14ac:dyDescent="0.4">
      <c r="A52" s="133" t="s">
        <v>129</v>
      </c>
      <c r="B52" s="134"/>
      <c r="C52" s="134"/>
      <c r="D52" s="134"/>
      <c r="E52" s="134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34"/>
      <c r="R52" s="134"/>
      <c r="S52" s="134"/>
      <c r="T52" s="134"/>
      <c r="U52" s="134"/>
      <c r="V52" s="134"/>
      <c r="W52" s="134"/>
      <c r="X52" s="134"/>
      <c r="Y52" s="134"/>
    </row>
    <row r="53" spans="1:25" x14ac:dyDescent="0.4">
      <c r="A53" s="133" t="s">
        <v>130</v>
      </c>
      <c r="B53" s="134"/>
      <c r="C53" s="134"/>
      <c r="D53" s="134"/>
      <c r="E53" s="134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34"/>
      <c r="R53" s="134"/>
      <c r="S53" s="134"/>
      <c r="T53" s="134"/>
      <c r="U53" s="134"/>
      <c r="V53" s="134"/>
      <c r="W53" s="134"/>
      <c r="X53" s="134"/>
      <c r="Y53" s="134"/>
    </row>
    <row r="54" spans="1:25" x14ac:dyDescent="0.4">
      <c r="A54" s="133" t="s">
        <v>131</v>
      </c>
      <c r="B54" s="134"/>
      <c r="C54" s="134"/>
      <c r="D54" s="134"/>
      <c r="E54" s="134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34"/>
      <c r="R54" s="134"/>
      <c r="S54" s="134"/>
      <c r="T54" s="134"/>
      <c r="U54" s="134"/>
      <c r="V54" s="134"/>
      <c r="W54" s="134"/>
      <c r="X54" s="134"/>
      <c r="Y54" s="134"/>
    </row>
    <row r="55" spans="1:25" x14ac:dyDescent="0.4">
      <c r="A55" s="133" t="s">
        <v>132</v>
      </c>
      <c r="B55" s="134"/>
      <c r="C55" s="134"/>
      <c r="D55" s="134"/>
      <c r="E55" s="134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34"/>
      <c r="R55" s="134"/>
      <c r="S55" s="134"/>
      <c r="T55" s="134"/>
      <c r="U55" s="134"/>
      <c r="V55" s="134"/>
      <c r="W55" s="134"/>
      <c r="X55" s="134"/>
      <c r="Y55" s="134"/>
    </row>
    <row r="56" spans="1:25" x14ac:dyDescent="0.4">
      <c r="A56" s="133" t="s">
        <v>133</v>
      </c>
      <c r="B56" s="134"/>
      <c r="C56" s="134"/>
      <c r="D56" s="134"/>
      <c r="E56" s="134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34"/>
      <c r="R56" s="134"/>
      <c r="S56" s="134"/>
      <c r="T56" s="134"/>
      <c r="U56" s="134"/>
      <c r="V56" s="134"/>
      <c r="W56" s="134"/>
      <c r="X56" s="134"/>
      <c r="Y56" s="134"/>
    </row>
    <row r="57" spans="1:25" x14ac:dyDescent="0.4">
      <c r="A57" s="133" t="s">
        <v>134</v>
      </c>
      <c r="B57" s="134"/>
      <c r="C57" s="134"/>
      <c r="D57" s="134"/>
      <c r="E57" s="134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34"/>
      <c r="R57" s="134"/>
      <c r="S57" s="134"/>
      <c r="T57" s="134"/>
      <c r="U57" s="134"/>
      <c r="V57" s="134"/>
      <c r="W57" s="134"/>
      <c r="X57" s="134"/>
      <c r="Y57" s="134"/>
    </row>
    <row r="58" spans="1:25" x14ac:dyDescent="0.4">
      <c r="A58" s="133" t="s">
        <v>135</v>
      </c>
      <c r="B58" s="138"/>
      <c r="C58" s="138"/>
      <c r="D58" s="138"/>
      <c r="E58" s="138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4"/>
      <c r="R58" s="134"/>
      <c r="S58" s="134"/>
      <c r="T58" s="134"/>
      <c r="U58" s="134"/>
      <c r="V58" s="134"/>
      <c r="W58" s="134"/>
      <c r="X58" s="134"/>
      <c r="Y58" s="134"/>
    </row>
    <row r="59" spans="1:25" x14ac:dyDescent="0.4">
      <c r="A59" s="133" t="s">
        <v>136</v>
      </c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08" t="s">
        <v>137</v>
      </c>
      <c r="R59" s="108" t="s">
        <v>137</v>
      </c>
      <c r="S59" s="134"/>
      <c r="T59" s="134"/>
      <c r="U59" s="134"/>
      <c r="V59" s="134"/>
      <c r="W59" s="108" t="s">
        <v>47</v>
      </c>
      <c r="X59" s="108" t="s">
        <v>45</v>
      </c>
      <c r="Y59" s="108" t="s">
        <v>48</v>
      </c>
    </row>
    <row r="60" spans="1:25" x14ac:dyDescent="0.4">
      <c r="A60" s="133" t="s">
        <v>138</v>
      </c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08" t="s">
        <v>94</v>
      </c>
      <c r="T60" s="108" t="s">
        <v>94</v>
      </c>
      <c r="U60" s="108" t="s">
        <v>44</v>
      </c>
      <c r="V60" s="108" t="s">
        <v>46</v>
      </c>
      <c r="W60" s="108"/>
      <c r="X60" s="108"/>
      <c r="Y60" s="108"/>
    </row>
    <row r="61" spans="1:25" x14ac:dyDescent="0.4">
      <c r="A61" s="133" t="s">
        <v>139</v>
      </c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08" t="s">
        <v>137</v>
      </c>
      <c r="R61" s="108" t="s">
        <v>137</v>
      </c>
      <c r="S61" s="134"/>
      <c r="T61" s="134"/>
      <c r="U61" s="134"/>
      <c r="V61" s="134"/>
      <c r="W61" s="108" t="s">
        <v>47</v>
      </c>
      <c r="X61" s="108" t="s">
        <v>45</v>
      </c>
      <c r="Y61" s="108" t="s">
        <v>48</v>
      </c>
    </row>
    <row r="62" spans="1:25" x14ac:dyDescent="0.4">
      <c r="A62" s="133" t="s">
        <v>140</v>
      </c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08" t="s">
        <v>94</v>
      </c>
      <c r="T62" s="108" t="s">
        <v>94</v>
      </c>
      <c r="U62" s="108" t="s">
        <v>44</v>
      </c>
      <c r="V62" s="108" t="s">
        <v>46</v>
      </c>
      <c r="W62" s="108"/>
      <c r="X62" s="108"/>
      <c r="Y62" s="108"/>
    </row>
    <row r="63" spans="1:25" x14ac:dyDescent="0.4">
      <c r="A63" s="133" t="s">
        <v>141</v>
      </c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08" t="s">
        <v>137</v>
      </c>
      <c r="R63" s="108" t="s">
        <v>137</v>
      </c>
      <c r="S63" s="134"/>
      <c r="T63" s="134"/>
      <c r="U63" s="134"/>
      <c r="V63" s="134"/>
      <c r="W63" s="108" t="s">
        <v>47</v>
      </c>
      <c r="X63" s="108" t="s">
        <v>45</v>
      </c>
      <c r="Y63" s="108" t="s">
        <v>48</v>
      </c>
    </row>
    <row r="64" spans="1:25" x14ac:dyDescent="0.4">
      <c r="A64" s="133" t="s">
        <v>142</v>
      </c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08"/>
      <c r="R64" s="108"/>
      <c r="S64" s="108" t="s">
        <v>94</v>
      </c>
      <c r="T64" s="108" t="s">
        <v>94</v>
      </c>
      <c r="U64" s="108" t="s">
        <v>44</v>
      </c>
      <c r="V64" s="108" t="s">
        <v>46</v>
      </c>
      <c r="W64" s="108"/>
      <c r="X64" s="108"/>
      <c r="Y64" s="108"/>
    </row>
    <row r="65" spans="1:25" x14ac:dyDescent="0.4">
      <c r="A65" s="133" t="s">
        <v>143</v>
      </c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08" t="s">
        <v>137</v>
      </c>
      <c r="R65" s="108" t="s">
        <v>137</v>
      </c>
      <c r="S65" s="134"/>
      <c r="T65" s="134"/>
      <c r="U65" s="134"/>
      <c r="V65" s="134"/>
      <c r="W65" s="108" t="s">
        <v>47</v>
      </c>
      <c r="X65" s="108" t="s">
        <v>45</v>
      </c>
      <c r="Y65" s="108" t="s">
        <v>48</v>
      </c>
    </row>
    <row r="66" spans="1:25" x14ac:dyDescent="0.4">
      <c r="A66" s="133" t="s">
        <v>144</v>
      </c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08" t="s">
        <v>94</v>
      </c>
      <c r="T66" s="108" t="s">
        <v>94</v>
      </c>
      <c r="U66" s="108" t="s">
        <v>44</v>
      </c>
      <c r="V66" s="108" t="s">
        <v>46</v>
      </c>
      <c r="W66" s="108"/>
      <c r="X66" s="108"/>
      <c r="Y66" s="108"/>
    </row>
    <row r="67" spans="1:25" x14ac:dyDescent="0.4">
      <c r="A67" s="133" t="s">
        <v>145</v>
      </c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08" t="s">
        <v>137</v>
      </c>
      <c r="R67" s="108" t="s">
        <v>137</v>
      </c>
      <c r="S67" s="134"/>
      <c r="T67" s="134"/>
      <c r="U67" s="134"/>
      <c r="V67" s="134"/>
      <c r="W67" s="108" t="s">
        <v>47</v>
      </c>
      <c r="X67" s="108" t="s">
        <v>45</v>
      </c>
      <c r="Y67" s="108" t="s">
        <v>48</v>
      </c>
    </row>
    <row r="68" spans="1:25" x14ac:dyDescent="0.4">
      <c r="A68" s="133" t="s">
        <v>146</v>
      </c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08" t="s">
        <v>94</v>
      </c>
      <c r="T68" s="108" t="s">
        <v>94</v>
      </c>
      <c r="U68" s="108" t="s">
        <v>44</v>
      </c>
      <c r="V68" s="108" t="s">
        <v>46</v>
      </c>
      <c r="W68" s="108"/>
      <c r="X68" s="108"/>
      <c r="Y68" s="108"/>
    </row>
  </sheetData>
  <mergeCells count="1">
    <mergeCell ref="A1:O1"/>
  </mergeCells>
  <phoneticPr fontId="17" type="noConversion"/>
  <pageMargins left="0.73958333333333304" right="0.36944444444444402" top="0.47222222222222199" bottom="0.55069444444444404" header="0.31458333333333299" footer="0.31458333333333299"/>
  <pageSetup paperSize="9" scale="53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D41"/>
  <sheetViews>
    <sheetView workbookViewId="0">
      <pane xSplit="2" ySplit="3" topLeftCell="C19" activePane="bottomRight" state="frozen"/>
      <selection pane="topRight"/>
      <selection pane="bottomLeft"/>
      <selection pane="bottomRight" activeCell="O29" sqref="O29"/>
    </sheetView>
  </sheetViews>
  <sheetFormatPr defaultColWidth="3.125" defaultRowHeight="15.75" x14ac:dyDescent="0.4"/>
  <cols>
    <col min="1" max="1" width="4.125" style="118" customWidth="1"/>
    <col min="2" max="2" width="8.125" style="118" customWidth="1"/>
    <col min="3" max="24" width="9.125" style="118" customWidth="1"/>
    <col min="25" max="26" width="9.625" style="118" customWidth="1"/>
    <col min="27" max="156" width="9.125" style="118" customWidth="1"/>
    <col min="157" max="276" width="9.25" style="118" customWidth="1"/>
    <col min="277" max="280" width="9.375" style="118" customWidth="1"/>
    <col min="281" max="281" width="9.125" style="118" customWidth="1"/>
    <col min="282" max="290" width="8.6875" style="118" customWidth="1"/>
    <col min="291" max="291" width="3.3125" style="118" customWidth="1"/>
    <col min="292" max="16384" width="3.125" style="118"/>
  </cols>
  <sheetData>
    <row r="1" spans="1:290" s="114" customFormat="1" ht="45.75" customHeight="1" x14ac:dyDescent="0.4">
      <c r="A1" s="140" t="s">
        <v>147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 t="s">
        <v>148</v>
      </c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 t="s">
        <v>149</v>
      </c>
      <c r="AZ1" s="140"/>
      <c r="BA1" s="140"/>
      <c r="BB1" s="140"/>
      <c r="BC1" s="140"/>
      <c r="BD1" s="140"/>
      <c r="BE1" s="140"/>
      <c r="BF1" s="140"/>
      <c r="BG1" s="140"/>
      <c r="BH1" s="140"/>
      <c r="BI1" s="140"/>
      <c r="BJ1" s="140"/>
      <c r="BK1" s="140"/>
      <c r="BL1" s="140"/>
      <c r="BM1" s="140"/>
      <c r="BN1" s="140"/>
      <c r="BO1" s="140"/>
      <c r="BP1" s="140"/>
      <c r="BQ1" s="140"/>
      <c r="BR1" s="140"/>
      <c r="BS1" s="140"/>
      <c r="BT1" s="140"/>
      <c r="BU1" s="140"/>
      <c r="BV1" s="140"/>
      <c r="BW1" s="140" t="s">
        <v>150</v>
      </c>
      <c r="BX1" s="140"/>
      <c r="BY1" s="140"/>
      <c r="BZ1" s="140"/>
      <c r="CA1" s="140"/>
      <c r="CB1" s="140"/>
      <c r="CC1" s="140"/>
      <c r="CD1" s="140"/>
      <c r="CE1" s="140"/>
      <c r="CF1" s="140"/>
      <c r="CG1" s="140"/>
      <c r="CH1" s="140"/>
      <c r="CI1" s="140"/>
      <c r="CJ1" s="140"/>
      <c r="CK1" s="140"/>
      <c r="CL1" s="140"/>
      <c r="CM1" s="140"/>
      <c r="CN1" s="140"/>
      <c r="CO1" s="140"/>
      <c r="CP1" s="140"/>
      <c r="CQ1" s="140"/>
      <c r="CR1" s="140"/>
      <c r="CS1" s="140"/>
      <c r="CT1" s="140"/>
      <c r="CU1" s="140" t="s">
        <v>151</v>
      </c>
      <c r="CV1" s="140"/>
      <c r="CW1" s="140"/>
      <c r="CX1" s="140"/>
      <c r="CY1" s="140"/>
      <c r="CZ1" s="140"/>
      <c r="DA1" s="140"/>
      <c r="DB1" s="140"/>
      <c r="DC1" s="140"/>
      <c r="DD1" s="140"/>
      <c r="DE1" s="140"/>
      <c r="DF1" s="140"/>
      <c r="DG1" s="140"/>
      <c r="DH1" s="140"/>
      <c r="DI1" s="140"/>
      <c r="DJ1" s="140"/>
      <c r="DK1" s="140"/>
      <c r="DL1" s="140"/>
      <c r="DM1" s="140"/>
      <c r="DN1" s="140"/>
      <c r="DO1" s="140"/>
      <c r="DP1" s="140"/>
      <c r="DQ1" s="140"/>
      <c r="DR1" s="140"/>
      <c r="DS1" s="140" t="s">
        <v>152</v>
      </c>
      <c r="DT1" s="140"/>
      <c r="DU1" s="140"/>
      <c r="DV1" s="140"/>
      <c r="DW1" s="140"/>
      <c r="DX1" s="140"/>
      <c r="DY1" s="140"/>
      <c r="DZ1" s="140"/>
      <c r="EA1" s="140"/>
      <c r="EB1" s="140"/>
      <c r="EC1" s="140"/>
      <c r="ED1" s="140"/>
      <c r="EE1" s="140"/>
      <c r="EF1" s="140"/>
      <c r="EG1" s="140"/>
      <c r="EH1" s="140"/>
      <c r="EI1" s="140"/>
      <c r="EJ1" s="140"/>
      <c r="EK1" s="140"/>
      <c r="EL1" s="140"/>
      <c r="EM1" s="140"/>
      <c r="EN1" s="140"/>
      <c r="EO1" s="140"/>
      <c r="EP1" s="140"/>
      <c r="EQ1" s="140" t="s">
        <v>153</v>
      </c>
      <c r="ER1" s="140"/>
      <c r="ES1" s="140"/>
      <c r="ET1" s="140"/>
      <c r="EU1" s="140"/>
      <c r="EV1" s="140"/>
      <c r="EW1" s="140"/>
      <c r="EX1" s="140"/>
      <c r="EY1" s="140"/>
      <c r="EZ1" s="140"/>
      <c r="FA1" s="140"/>
      <c r="FB1" s="140"/>
      <c r="FC1" s="140"/>
      <c r="FD1" s="140"/>
      <c r="FE1" s="140"/>
      <c r="FF1" s="140"/>
      <c r="FG1" s="140"/>
      <c r="FH1" s="140"/>
      <c r="FI1" s="140"/>
      <c r="FJ1" s="140"/>
      <c r="FK1" s="140"/>
      <c r="FL1" s="140"/>
      <c r="FM1" s="140"/>
      <c r="FN1" s="140"/>
      <c r="FO1" s="140" t="s">
        <v>147</v>
      </c>
      <c r="FP1" s="140"/>
      <c r="FQ1" s="140"/>
      <c r="FR1" s="140"/>
      <c r="FS1" s="140"/>
      <c r="FT1" s="140"/>
      <c r="FU1" s="140"/>
      <c r="FV1" s="140"/>
      <c r="FW1" s="140"/>
      <c r="FX1" s="140"/>
      <c r="FY1" s="140"/>
      <c r="FZ1" s="140"/>
      <c r="GA1" s="140"/>
      <c r="GB1" s="140"/>
      <c r="GC1" s="140"/>
      <c r="GD1" s="140"/>
      <c r="GE1" s="140"/>
      <c r="GF1" s="140"/>
      <c r="GG1" s="140"/>
      <c r="GH1" s="140"/>
      <c r="GI1" s="140"/>
      <c r="GJ1" s="140"/>
      <c r="GK1" s="140"/>
      <c r="GL1" s="140"/>
      <c r="GM1" s="140" t="s">
        <v>148</v>
      </c>
      <c r="GN1" s="140"/>
      <c r="GO1" s="140"/>
      <c r="GP1" s="140"/>
      <c r="GQ1" s="140"/>
      <c r="GR1" s="140"/>
      <c r="GS1" s="140"/>
      <c r="GT1" s="140"/>
      <c r="GU1" s="140"/>
      <c r="GV1" s="140"/>
      <c r="GW1" s="140"/>
      <c r="GX1" s="140"/>
      <c r="GY1" s="140"/>
      <c r="GZ1" s="140"/>
      <c r="HA1" s="140"/>
      <c r="HB1" s="140"/>
      <c r="HC1" s="140"/>
      <c r="HD1" s="140"/>
      <c r="HE1" s="140"/>
      <c r="HF1" s="140"/>
      <c r="HG1" s="140"/>
      <c r="HH1" s="140"/>
      <c r="HI1" s="140"/>
      <c r="HJ1" s="140"/>
      <c r="HK1" s="140" t="s">
        <v>149</v>
      </c>
      <c r="HL1" s="140"/>
      <c r="HM1" s="140"/>
      <c r="HN1" s="140"/>
      <c r="HO1" s="140"/>
      <c r="HP1" s="140"/>
      <c r="HQ1" s="140"/>
      <c r="HR1" s="140"/>
      <c r="HS1" s="140"/>
      <c r="HT1" s="140"/>
      <c r="HU1" s="140"/>
      <c r="HV1" s="140"/>
      <c r="HW1" s="140"/>
      <c r="HX1" s="140"/>
      <c r="HY1" s="140"/>
      <c r="HZ1" s="140"/>
      <c r="IA1" s="140"/>
      <c r="IB1" s="140"/>
      <c r="IC1" s="140"/>
      <c r="ID1" s="140"/>
      <c r="IE1" s="140"/>
      <c r="IF1" s="140"/>
      <c r="IG1" s="140"/>
      <c r="IH1" s="140"/>
      <c r="II1" s="140" t="s">
        <v>154</v>
      </c>
      <c r="IJ1" s="140"/>
      <c r="IK1" s="140"/>
      <c r="IL1" s="140"/>
      <c r="IM1" s="140"/>
      <c r="IN1" s="140"/>
      <c r="IO1" s="140"/>
      <c r="IP1" s="140"/>
      <c r="IQ1" s="140"/>
      <c r="IR1" s="140"/>
      <c r="IS1" s="140"/>
      <c r="IT1" s="140"/>
      <c r="IU1" s="140"/>
      <c r="IV1" s="140"/>
      <c r="IW1" s="140"/>
      <c r="IX1" s="140"/>
      <c r="IY1" s="140"/>
      <c r="IZ1" s="140"/>
      <c r="JA1" s="140"/>
      <c r="JB1" s="140"/>
      <c r="JC1" s="140"/>
      <c r="JD1" s="140"/>
      <c r="JE1" s="140"/>
      <c r="JF1" s="140"/>
      <c r="JG1" s="140" t="s">
        <v>151</v>
      </c>
      <c r="JH1" s="140"/>
      <c r="JI1" s="140"/>
      <c r="JJ1" s="140"/>
      <c r="JK1" s="140"/>
      <c r="JL1" s="140"/>
      <c r="JM1" s="140"/>
      <c r="JN1" s="140"/>
      <c r="JO1" s="140"/>
      <c r="JP1" s="140"/>
      <c r="JQ1" s="140"/>
      <c r="JR1" s="140"/>
      <c r="JS1" s="140"/>
      <c r="JT1" s="140"/>
      <c r="JU1" s="140"/>
      <c r="JV1" s="140"/>
      <c r="JW1" s="140"/>
      <c r="JX1" s="140"/>
      <c r="JY1" s="140"/>
      <c r="JZ1" s="140"/>
      <c r="KA1" s="140"/>
      <c r="KB1" s="140"/>
      <c r="KC1" s="140"/>
      <c r="KD1" s="140"/>
    </row>
    <row r="2" spans="1:290" ht="23.25" hidden="1" customHeight="1" x14ac:dyDescent="0.4">
      <c r="A2" s="141" t="s">
        <v>155</v>
      </c>
      <c r="B2" s="142"/>
      <c r="C2" s="57">
        <v>1</v>
      </c>
      <c r="D2" s="57">
        <v>2</v>
      </c>
      <c r="E2" s="57">
        <v>3</v>
      </c>
      <c r="F2" s="57">
        <v>4</v>
      </c>
      <c r="G2" s="57">
        <v>5</v>
      </c>
      <c r="H2" s="57">
        <v>6</v>
      </c>
      <c r="I2" s="57">
        <v>7</v>
      </c>
      <c r="J2" s="57">
        <v>8</v>
      </c>
      <c r="K2" s="57">
        <v>9</v>
      </c>
      <c r="L2" s="57">
        <v>10</v>
      </c>
      <c r="M2" s="57">
        <v>11</v>
      </c>
      <c r="N2" s="57">
        <v>12</v>
      </c>
      <c r="O2" s="57">
        <v>13</v>
      </c>
      <c r="P2" s="57">
        <v>14</v>
      </c>
      <c r="Q2" s="57">
        <v>15</v>
      </c>
      <c r="R2" s="57">
        <v>16</v>
      </c>
      <c r="S2" s="57">
        <v>17</v>
      </c>
      <c r="T2" s="57">
        <v>18</v>
      </c>
      <c r="U2" s="57">
        <v>19</v>
      </c>
      <c r="V2" s="57">
        <v>20</v>
      </c>
      <c r="W2" s="57">
        <v>21</v>
      </c>
      <c r="X2" s="57">
        <v>22</v>
      </c>
      <c r="Y2" s="57">
        <v>23</v>
      </c>
      <c r="Z2" s="57">
        <v>24</v>
      </c>
      <c r="AA2" s="57">
        <v>1</v>
      </c>
      <c r="AB2" s="57">
        <v>2</v>
      </c>
      <c r="AC2" s="57">
        <v>3</v>
      </c>
      <c r="AD2" s="57">
        <v>4</v>
      </c>
      <c r="AE2" s="57">
        <v>5</v>
      </c>
      <c r="AF2" s="57">
        <v>6</v>
      </c>
      <c r="AG2" s="57">
        <v>7</v>
      </c>
      <c r="AH2" s="57">
        <v>8</v>
      </c>
      <c r="AI2" s="57">
        <v>9</v>
      </c>
      <c r="AJ2" s="57">
        <v>10</v>
      </c>
      <c r="AK2" s="57">
        <v>11</v>
      </c>
      <c r="AL2" s="57">
        <v>12</v>
      </c>
      <c r="AM2" s="57">
        <v>13</v>
      </c>
      <c r="AN2" s="57">
        <v>14</v>
      </c>
      <c r="AO2" s="57">
        <v>15</v>
      </c>
      <c r="AP2" s="57">
        <v>16</v>
      </c>
      <c r="AQ2" s="57">
        <v>17</v>
      </c>
      <c r="AR2" s="57">
        <v>18</v>
      </c>
      <c r="AS2" s="57">
        <v>19</v>
      </c>
      <c r="AT2" s="57">
        <v>20</v>
      </c>
      <c r="AU2" s="57">
        <v>21</v>
      </c>
      <c r="AV2" s="57">
        <v>22</v>
      </c>
      <c r="AW2" s="57">
        <v>23</v>
      </c>
      <c r="AX2" s="57">
        <v>24</v>
      </c>
      <c r="AY2" s="57">
        <v>1</v>
      </c>
      <c r="AZ2" s="57">
        <v>2</v>
      </c>
      <c r="BA2" s="57">
        <v>3</v>
      </c>
      <c r="BB2" s="57">
        <v>4</v>
      </c>
      <c r="BC2" s="57">
        <v>5</v>
      </c>
      <c r="BD2" s="57">
        <v>6</v>
      </c>
      <c r="BE2" s="57">
        <v>7</v>
      </c>
      <c r="BF2" s="57">
        <v>8</v>
      </c>
      <c r="BG2" s="57">
        <v>9</v>
      </c>
      <c r="BH2" s="57">
        <v>10</v>
      </c>
      <c r="BI2" s="57">
        <v>11</v>
      </c>
      <c r="BJ2" s="57">
        <v>12</v>
      </c>
      <c r="BK2" s="57">
        <v>13</v>
      </c>
      <c r="BL2" s="57">
        <v>14</v>
      </c>
      <c r="BM2" s="57">
        <v>15</v>
      </c>
      <c r="BN2" s="57">
        <v>16</v>
      </c>
      <c r="BO2" s="57">
        <v>17</v>
      </c>
      <c r="BP2" s="57">
        <v>18</v>
      </c>
      <c r="BQ2" s="57">
        <v>19</v>
      </c>
      <c r="BR2" s="57">
        <v>20</v>
      </c>
      <c r="BS2" s="57">
        <v>21</v>
      </c>
      <c r="BT2" s="57">
        <v>22</v>
      </c>
      <c r="BU2" s="57">
        <v>23</v>
      </c>
      <c r="BV2" s="57">
        <v>24</v>
      </c>
      <c r="BW2" s="57">
        <v>1</v>
      </c>
      <c r="BX2" s="57">
        <v>2</v>
      </c>
      <c r="BY2" s="57">
        <v>3</v>
      </c>
      <c r="BZ2" s="57">
        <v>4</v>
      </c>
      <c r="CA2" s="57">
        <v>5</v>
      </c>
      <c r="CB2" s="57">
        <v>6</v>
      </c>
      <c r="CC2" s="57">
        <v>7</v>
      </c>
      <c r="CD2" s="57">
        <v>8</v>
      </c>
      <c r="CE2" s="57">
        <v>9</v>
      </c>
      <c r="CF2" s="57">
        <v>10</v>
      </c>
      <c r="CG2" s="57">
        <v>11</v>
      </c>
      <c r="CH2" s="57">
        <v>12</v>
      </c>
      <c r="CI2" s="57">
        <v>13</v>
      </c>
      <c r="CJ2" s="57">
        <v>14</v>
      </c>
      <c r="CK2" s="57">
        <v>15</v>
      </c>
      <c r="CL2" s="57">
        <v>16</v>
      </c>
      <c r="CM2" s="57">
        <v>17</v>
      </c>
      <c r="CN2" s="57">
        <v>18</v>
      </c>
      <c r="CO2" s="57">
        <v>19</v>
      </c>
      <c r="CP2" s="57">
        <v>20</v>
      </c>
      <c r="CQ2" s="57">
        <v>21</v>
      </c>
      <c r="CR2" s="57">
        <v>22</v>
      </c>
      <c r="CS2" s="57">
        <v>23</v>
      </c>
      <c r="CT2" s="57">
        <v>24</v>
      </c>
      <c r="CU2" s="57">
        <v>1</v>
      </c>
      <c r="CV2" s="57">
        <v>2</v>
      </c>
      <c r="CW2" s="57">
        <v>3</v>
      </c>
      <c r="CX2" s="57">
        <v>4</v>
      </c>
      <c r="CY2" s="57">
        <v>5</v>
      </c>
      <c r="CZ2" s="57">
        <v>6</v>
      </c>
      <c r="DA2" s="57">
        <v>7</v>
      </c>
      <c r="DB2" s="57">
        <v>8</v>
      </c>
      <c r="DC2" s="57">
        <v>9</v>
      </c>
      <c r="DD2" s="57">
        <v>10</v>
      </c>
      <c r="DE2" s="57">
        <v>11</v>
      </c>
      <c r="DF2" s="57">
        <v>12</v>
      </c>
      <c r="DG2" s="57">
        <v>13</v>
      </c>
      <c r="DH2" s="57">
        <v>14</v>
      </c>
      <c r="DI2" s="57">
        <v>15</v>
      </c>
      <c r="DJ2" s="57">
        <v>16</v>
      </c>
      <c r="DK2" s="57">
        <v>17</v>
      </c>
      <c r="DL2" s="57">
        <v>18</v>
      </c>
      <c r="DM2" s="57">
        <v>19</v>
      </c>
      <c r="DN2" s="57">
        <v>20</v>
      </c>
      <c r="DO2" s="57">
        <v>21</v>
      </c>
      <c r="DP2" s="57">
        <v>22</v>
      </c>
      <c r="DQ2" s="57">
        <v>23</v>
      </c>
      <c r="DR2" s="57">
        <v>24</v>
      </c>
      <c r="DS2" s="57">
        <v>1</v>
      </c>
      <c r="DT2" s="57">
        <v>2</v>
      </c>
      <c r="DU2" s="57">
        <v>3</v>
      </c>
      <c r="DV2" s="57">
        <v>4</v>
      </c>
      <c r="DW2" s="57">
        <v>5</v>
      </c>
      <c r="DX2" s="57">
        <v>6</v>
      </c>
      <c r="DY2" s="57">
        <v>7</v>
      </c>
      <c r="DZ2" s="57">
        <v>8</v>
      </c>
      <c r="EA2" s="57">
        <v>9</v>
      </c>
      <c r="EB2" s="57">
        <v>10</v>
      </c>
      <c r="EC2" s="57">
        <v>11</v>
      </c>
      <c r="ED2" s="57">
        <v>12</v>
      </c>
      <c r="EE2" s="57">
        <v>13</v>
      </c>
      <c r="EF2" s="57">
        <v>14</v>
      </c>
      <c r="EG2" s="57">
        <v>15</v>
      </c>
      <c r="EH2" s="57">
        <v>16</v>
      </c>
      <c r="EI2" s="57">
        <v>17</v>
      </c>
      <c r="EJ2" s="57">
        <v>18</v>
      </c>
      <c r="EK2" s="57">
        <v>19</v>
      </c>
      <c r="EL2" s="57">
        <v>20</v>
      </c>
      <c r="EM2" s="57">
        <v>21</v>
      </c>
      <c r="EN2" s="57">
        <v>22</v>
      </c>
      <c r="EO2" s="57">
        <v>23</v>
      </c>
      <c r="EP2" s="57">
        <v>24</v>
      </c>
      <c r="EQ2" s="57">
        <v>1</v>
      </c>
      <c r="ER2" s="57">
        <v>2</v>
      </c>
      <c r="ES2" s="57">
        <v>3</v>
      </c>
      <c r="ET2" s="57">
        <v>4</v>
      </c>
      <c r="EU2" s="57">
        <v>5</v>
      </c>
      <c r="EV2" s="57">
        <v>6</v>
      </c>
      <c r="EW2" s="57">
        <v>7</v>
      </c>
      <c r="EX2" s="57">
        <v>8</v>
      </c>
      <c r="EY2" s="57">
        <v>9</v>
      </c>
      <c r="EZ2" s="57">
        <v>10</v>
      </c>
      <c r="FA2" s="57">
        <v>11</v>
      </c>
      <c r="FB2" s="57">
        <v>12</v>
      </c>
      <c r="FC2" s="57">
        <v>13</v>
      </c>
      <c r="FD2" s="57">
        <v>14</v>
      </c>
      <c r="FE2" s="57">
        <v>15</v>
      </c>
      <c r="FF2" s="57">
        <v>16</v>
      </c>
      <c r="FG2" s="57">
        <v>17</v>
      </c>
      <c r="FH2" s="57">
        <v>18</v>
      </c>
      <c r="FI2" s="57">
        <v>19</v>
      </c>
      <c r="FJ2" s="57">
        <v>20</v>
      </c>
      <c r="FK2" s="57">
        <v>21</v>
      </c>
      <c r="FL2" s="57">
        <v>22</v>
      </c>
      <c r="FM2" s="57">
        <v>23</v>
      </c>
      <c r="FN2" s="57">
        <v>24</v>
      </c>
      <c r="FO2" s="57">
        <v>1</v>
      </c>
      <c r="FP2" s="57">
        <v>2</v>
      </c>
      <c r="FQ2" s="57">
        <v>3</v>
      </c>
      <c r="FR2" s="57">
        <v>4</v>
      </c>
      <c r="FS2" s="57">
        <v>5</v>
      </c>
      <c r="FT2" s="57">
        <v>6</v>
      </c>
      <c r="FU2" s="57">
        <v>7</v>
      </c>
      <c r="FV2" s="57">
        <v>8</v>
      </c>
      <c r="FW2" s="57">
        <v>9</v>
      </c>
      <c r="FX2" s="57">
        <v>10</v>
      </c>
      <c r="FY2" s="57">
        <v>11</v>
      </c>
      <c r="FZ2" s="57">
        <v>12</v>
      </c>
      <c r="GA2" s="57">
        <v>13</v>
      </c>
      <c r="GB2" s="57">
        <v>14</v>
      </c>
      <c r="GC2" s="57">
        <v>15</v>
      </c>
      <c r="GD2" s="57">
        <v>16</v>
      </c>
      <c r="GE2" s="57">
        <v>17</v>
      </c>
      <c r="GF2" s="57">
        <v>18</v>
      </c>
      <c r="GG2" s="57">
        <v>19</v>
      </c>
      <c r="GH2" s="57">
        <v>20</v>
      </c>
      <c r="GI2" s="57">
        <v>21</v>
      </c>
      <c r="GJ2" s="57">
        <v>22</v>
      </c>
      <c r="GK2" s="57">
        <v>23</v>
      </c>
      <c r="GL2" s="57">
        <v>24</v>
      </c>
      <c r="GM2" s="57">
        <v>1</v>
      </c>
      <c r="GN2" s="57">
        <v>2</v>
      </c>
      <c r="GO2" s="57">
        <v>3</v>
      </c>
      <c r="GP2" s="57">
        <v>4</v>
      </c>
      <c r="GQ2" s="57">
        <v>5</v>
      </c>
      <c r="GR2" s="57">
        <v>6</v>
      </c>
      <c r="GS2" s="57">
        <v>7</v>
      </c>
      <c r="GT2" s="57">
        <v>8</v>
      </c>
      <c r="GU2" s="57">
        <v>9</v>
      </c>
      <c r="GV2" s="57">
        <v>10</v>
      </c>
      <c r="GW2" s="57">
        <v>11</v>
      </c>
      <c r="GX2" s="57">
        <v>12</v>
      </c>
      <c r="GY2" s="57">
        <v>13</v>
      </c>
      <c r="GZ2" s="57">
        <v>14</v>
      </c>
      <c r="HA2" s="57">
        <v>15</v>
      </c>
      <c r="HB2" s="57">
        <v>16</v>
      </c>
      <c r="HC2" s="57">
        <v>17</v>
      </c>
      <c r="HD2" s="57">
        <v>18</v>
      </c>
      <c r="HE2" s="57">
        <v>19</v>
      </c>
      <c r="HF2" s="57">
        <v>20</v>
      </c>
      <c r="HG2" s="57">
        <v>21</v>
      </c>
      <c r="HH2" s="57">
        <v>22</v>
      </c>
      <c r="HI2" s="57">
        <v>23</v>
      </c>
      <c r="HJ2" s="57">
        <v>24</v>
      </c>
      <c r="HK2" s="57">
        <v>1</v>
      </c>
      <c r="HL2" s="57">
        <v>2</v>
      </c>
      <c r="HM2" s="57">
        <v>3</v>
      </c>
      <c r="HN2" s="57">
        <v>4</v>
      </c>
      <c r="HO2" s="57">
        <v>5</v>
      </c>
      <c r="HP2" s="57">
        <v>6</v>
      </c>
      <c r="HQ2" s="57">
        <v>7</v>
      </c>
      <c r="HR2" s="57">
        <v>8</v>
      </c>
      <c r="HS2" s="57">
        <v>9</v>
      </c>
      <c r="HT2" s="57">
        <v>10</v>
      </c>
      <c r="HU2" s="57">
        <v>11</v>
      </c>
      <c r="HV2" s="57">
        <v>12</v>
      </c>
      <c r="HW2" s="57">
        <v>13</v>
      </c>
      <c r="HX2" s="57">
        <v>14</v>
      </c>
      <c r="HY2" s="57">
        <v>15</v>
      </c>
      <c r="HZ2" s="57">
        <v>16</v>
      </c>
      <c r="IA2" s="57">
        <v>17</v>
      </c>
      <c r="IB2" s="57">
        <v>18</v>
      </c>
      <c r="IC2" s="57">
        <v>19</v>
      </c>
      <c r="ID2" s="57">
        <v>20</v>
      </c>
      <c r="IE2" s="57">
        <v>21</v>
      </c>
      <c r="IF2" s="57">
        <v>22</v>
      </c>
      <c r="IG2" s="57">
        <v>23</v>
      </c>
      <c r="IH2" s="57">
        <v>24</v>
      </c>
      <c r="II2" s="57">
        <v>1</v>
      </c>
      <c r="IJ2" s="57">
        <v>2</v>
      </c>
      <c r="IK2" s="57">
        <v>3</v>
      </c>
      <c r="IL2" s="57">
        <v>4</v>
      </c>
      <c r="IM2" s="57">
        <v>5</v>
      </c>
      <c r="IN2" s="57">
        <v>6</v>
      </c>
      <c r="IO2" s="57">
        <v>7</v>
      </c>
      <c r="IP2" s="57">
        <v>8</v>
      </c>
      <c r="IQ2" s="57">
        <v>9</v>
      </c>
      <c r="IR2" s="57">
        <v>10</v>
      </c>
      <c r="IS2" s="57">
        <v>11</v>
      </c>
      <c r="IT2" s="57">
        <v>12</v>
      </c>
      <c r="IU2" s="57">
        <v>13</v>
      </c>
      <c r="IV2" s="57">
        <v>14</v>
      </c>
      <c r="IW2" s="57">
        <v>15</v>
      </c>
      <c r="IX2" s="57">
        <v>16</v>
      </c>
      <c r="IY2" s="57">
        <v>17</v>
      </c>
      <c r="IZ2" s="57">
        <v>18</v>
      </c>
      <c r="JA2" s="57">
        <v>19</v>
      </c>
      <c r="JB2" s="57">
        <v>20</v>
      </c>
      <c r="JC2" s="57">
        <v>21</v>
      </c>
      <c r="JD2" s="57">
        <v>22</v>
      </c>
      <c r="JE2" s="57">
        <v>23</v>
      </c>
      <c r="JF2" s="57">
        <v>24</v>
      </c>
      <c r="JG2" s="57">
        <v>1</v>
      </c>
      <c r="JH2" s="57">
        <v>2</v>
      </c>
      <c r="JI2" s="57">
        <v>3</v>
      </c>
      <c r="JJ2" s="57">
        <v>4</v>
      </c>
      <c r="JK2" s="57">
        <v>5</v>
      </c>
      <c r="JL2" s="57">
        <v>6</v>
      </c>
      <c r="JM2" s="57">
        <v>7</v>
      </c>
      <c r="JN2" s="57">
        <v>8</v>
      </c>
      <c r="JO2" s="57">
        <v>9</v>
      </c>
      <c r="JP2" s="57">
        <v>10</v>
      </c>
      <c r="JQ2" s="57">
        <v>11</v>
      </c>
      <c r="JR2" s="57">
        <v>12</v>
      </c>
      <c r="JS2" s="57">
        <v>13</v>
      </c>
      <c r="JT2" s="57">
        <v>14</v>
      </c>
      <c r="JU2" s="57">
        <v>15</v>
      </c>
      <c r="JV2" s="57">
        <v>16</v>
      </c>
      <c r="JW2" s="57">
        <v>17</v>
      </c>
      <c r="JX2" s="57">
        <v>18</v>
      </c>
      <c r="JY2" s="57">
        <v>19</v>
      </c>
      <c r="JZ2" s="57">
        <v>20</v>
      </c>
      <c r="KA2" s="57">
        <v>21</v>
      </c>
      <c r="KB2" s="57">
        <v>22</v>
      </c>
      <c r="KC2" s="57">
        <v>23</v>
      </c>
      <c r="KD2" s="57">
        <v>24</v>
      </c>
    </row>
    <row r="3" spans="1:290" s="115" customFormat="1" ht="22.5" x14ac:dyDescent="0.4">
      <c r="A3" s="143" t="s">
        <v>156</v>
      </c>
      <c r="B3" s="143"/>
      <c r="C3" s="119">
        <v>101</v>
      </c>
      <c r="D3" s="119">
        <v>102</v>
      </c>
      <c r="E3" s="119">
        <v>103</v>
      </c>
      <c r="F3" s="119">
        <v>104</v>
      </c>
      <c r="G3" s="119">
        <v>201</v>
      </c>
      <c r="H3" s="119">
        <v>202</v>
      </c>
      <c r="I3" s="119">
        <v>203</v>
      </c>
      <c r="J3" s="119">
        <v>204</v>
      </c>
      <c r="K3" s="119">
        <v>205</v>
      </c>
      <c r="L3" s="119">
        <v>206</v>
      </c>
      <c r="M3" s="119">
        <v>207</v>
      </c>
      <c r="N3" s="119">
        <v>208</v>
      </c>
      <c r="O3" s="119">
        <v>209</v>
      </c>
      <c r="P3" s="119">
        <v>210</v>
      </c>
      <c r="Q3" s="119">
        <v>211</v>
      </c>
      <c r="R3" s="119" t="s">
        <v>17</v>
      </c>
      <c r="S3" s="119" t="s">
        <v>18</v>
      </c>
      <c r="T3" s="119" t="s">
        <v>19</v>
      </c>
      <c r="U3" s="119" t="s">
        <v>20</v>
      </c>
      <c r="V3" s="119" t="s">
        <v>21</v>
      </c>
      <c r="W3" s="119" t="s">
        <v>22</v>
      </c>
      <c r="X3" s="119" t="s">
        <v>23</v>
      </c>
      <c r="Y3" s="119" t="s">
        <v>24</v>
      </c>
      <c r="Z3" s="119" t="s">
        <v>25</v>
      </c>
      <c r="AA3" s="119">
        <v>101</v>
      </c>
      <c r="AB3" s="119">
        <v>102</v>
      </c>
      <c r="AC3" s="119">
        <v>103</v>
      </c>
      <c r="AD3" s="119">
        <v>104</v>
      </c>
      <c r="AE3" s="119">
        <v>201</v>
      </c>
      <c r="AF3" s="119">
        <v>202</v>
      </c>
      <c r="AG3" s="119">
        <v>203</v>
      </c>
      <c r="AH3" s="119">
        <v>204</v>
      </c>
      <c r="AI3" s="119">
        <v>205</v>
      </c>
      <c r="AJ3" s="119">
        <v>206</v>
      </c>
      <c r="AK3" s="119">
        <v>207</v>
      </c>
      <c r="AL3" s="119">
        <v>208</v>
      </c>
      <c r="AM3" s="119">
        <v>209</v>
      </c>
      <c r="AN3" s="119">
        <v>210</v>
      </c>
      <c r="AO3" s="119">
        <v>211</v>
      </c>
      <c r="AP3" s="119" t="s">
        <v>17</v>
      </c>
      <c r="AQ3" s="119" t="s">
        <v>18</v>
      </c>
      <c r="AR3" s="119" t="s">
        <v>19</v>
      </c>
      <c r="AS3" s="119" t="s">
        <v>20</v>
      </c>
      <c r="AT3" s="119" t="s">
        <v>21</v>
      </c>
      <c r="AU3" s="119" t="s">
        <v>22</v>
      </c>
      <c r="AV3" s="119" t="s">
        <v>23</v>
      </c>
      <c r="AW3" s="119" t="s">
        <v>24</v>
      </c>
      <c r="AX3" s="119" t="s">
        <v>25</v>
      </c>
      <c r="AY3" s="119">
        <v>101</v>
      </c>
      <c r="AZ3" s="119">
        <v>102</v>
      </c>
      <c r="BA3" s="119">
        <v>103</v>
      </c>
      <c r="BB3" s="119">
        <v>104</v>
      </c>
      <c r="BC3" s="119">
        <v>201</v>
      </c>
      <c r="BD3" s="119">
        <v>202</v>
      </c>
      <c r="BE3" s="119">
        <v>203</v>
      </c>
      <c r="BF3" s="119">
        <v>204</v>
      </c>
      <c r="BG3" s="119">
        <v>205</v>
      </c>
      <c r="BH3" s="119">
        <v>206</v>
      </c>
      <c r="BI3" s="119">
        <v>207</v>
      </c>
      <c r="BJ3" s="119">
        <v>208</v>
      </c>
      <c r="BK3" s="119">
        <v>209</v>
      </c>
      <c r="BL3" s="119">
        <v>210</v>
      </c>
      <c r="BM3" s="119">
        <v>211</v>
      </c>
      <c r="BN3" s="119" t="s">
        <v>17</v>
      </c>
      <c r="BO3" s="119" t="s">
        <v>18</v>
      </c>
      <c r="BP3" s="119" t="s">
        <v>19</v>
      </c>
      <c r="BQ3" s="119" t="s">
        <v>20</v>
      </c>
      <c r="BR3" s="119" t="s">
        <v>21</v>
      </c>
      <c r="BS3" s="119" t="s">
        <v>22</v>
      </c>
      <c r="BT3" s="119" t="s">
        <v>23</v>
      </c>
      <c r="BU3" s="119" t="s">
        <v>24</v>
      </c>
      <c r="BV3" s="119" t="s">
        <v>25</v>
      </c>
      <c r="BW3" s="119">
        <v>101</v>
      </c>
      <c r="BX3" s="119">
        <v>102</v>
      </c>
      <c r="BY3" s="119">
        <v>103</v>
      </c>
      <c r="BZ3" s="119">
        <v>104</v>
      </c>
      <c r="CA3" s="119">
        <v>201</v>
      </c>
      <c r="CB3" s="119">
        <v>202</v>
      </c>
      <c r="CC3" s="119">
        <v>203</v>
      </c>
      <c r="CD3" s="119">
        <v>204</v>
      </c>
      <c r="CE3" s="119">
        <v>205</v>
      </c>
      <c r="CF3" s="119">
        <v>206</v>
      </c>
      <c r="CG3" s="119">
        <v>207</v>
      </c>
      <c r="CH3" s="119">
        <v>208</v>
      </c>
      <c r="CI3" s="119">
        <v>209</v>
      </c>
      <c r="CJ3" s="119">
        <v>210</v>
      </c>
      <c r="CK3" s="119">
        <v>211</v>
      </c>
      <c r="CL3" s="119" t="s">
        <v>17</v>
      </c>
      <c r="CM3" s="119" t="s">
        <v>18</v>
      </c>
      <c r="CN3" s="119" t="s">
        <v>19</v>
      </c>
      <c r="CO3" s="119" t="s">
        <v>20</v>
      </c>
      <c r="CP3" s="119" t="s">
        <v>21</v>
      </c>
      <c r="CQ3" s="119" t="s">
        <v>22</v>
      </c>
      <c r="CR3" s="119" t="s">
        <v>23</v>
      </c>
      <c r="CS3" s="119" t="s">
        <v>24</v>
      </c>
      <c r="CT3" s="119" t="s">
        <v>25</v>
      </c>
      <c r="CU3" s="119">
        <v>101</v>
      </c>
      <c r="CV3" s="119">
        <v>102</v>
      </c>
      <c r="CW3" s="119">
        <v>103</v>
      </c>
      <c r="CX3" s="119">
        <v>104</v>
      </c>
      <c r="CY3" s="119">
        <v>201</v>
      </c>
      <c r="CZ3" s="119">
        <v>202</v>
      </c>
      <c r="DA3" s="119">
        <v>203</v>
      </c>
      <c r="DB3" s="119">
        <v>204</v>
      </c>
      <c r="DC3" s="119">
        <v>205</v>
      </c>
      <c r="DD3" s="119">
        <v>206</v>
      </c>
      <c r="DE3" s="119">
        <v>207</v>
      </c>
      <c r="DF3" s="119">
        <v>208</v>
      </c>
      <c r="DG3" s="119">
        <v>209</v>
      </c>
      <c r="DH3" s="119">
        <v>210</v>
      </c>
      <c r="DI3" s="119">
        <v>211</v>
      </c>
      <c r="DJ3" s="119" t="s">
        <v>17</v>
      </c>
      <c r="DK3" s="119" t="s">
        <v>18</v>
      </c>
      <c r="DL3" s="119" t="s">
        <v>19</v>
      </c>
      <c r="DM3" s="119" t="s">
        <v>20</v>
      </c>
      <c r="DN3" s="119" t="s">
        <v>21</v>
      </c>
      <c r="DO3" s="119" t="s">
        <v>22</v>
      </c>
      <c r="DP3" s="119" t="s">
        <v>23</v>
      </c>
      <c r="DQ3" s="119" t="s">
        <v>24</v>
      </c>
      <c r="DR3" s="119" t="s">
        <v>25</v>
      </c>
      <c r="DS3" s="119">
        <v>101</v>
      </c>
      <c r="DT3" s="119">
        <v>102</v>
      </c>
      <c r="DU3" s="119">
        <v>103</v>
      </c>
      <c r="DV3" s="119">
        <v>104</v>
      </c>
      <c r="DW3" s="119">
        <v>201</v>
      </c>
      <c r="DX3" s="119">
        <v>202</v>
      </c>
      <c r="DY3" s="119">
        <v>203</v>
      </c>
      <c r="DZ3" s="119">
        <v>204</v>
      </c>
      <c r="EA3" s="119">
        <v>205</v>
      </c>
      <c r="EB3" s="119">
        <v>206</v>
      </c>
      <c r="EC3" s="119">
        <v>207</v>
      </c>
      <c r="ED3" s="119">
        <v>208</v>
      </c>
      <c r="EE3" s="119">
        <v>209</v>
      </c>
      <c r="EF3" s="119">
        <v>210</v>
      </c>
      <c r="EG3" s="119">
        <v>211</v>
      </c>
      <c r="EH3" s="119" t="s">
        <v>17</v>
      </c>
      <c r="EI3" s="119" t="s">
        <v>18</v>
      </c>
      <c r="EJ3" s="119" t="s">
        <v>19</v>
      </c>
      <c r="EK3" s="119" t="s">
        <v>20</v>
      </c>
      <c r="EL3" s="119" t="s">
        <v>21</v>
      </c>
      <c r="EM3" s="119" t="s">
        <v>22</v>
      </c>
      <c r="EN3" s="119" t="s">
        <v>23</v>
      </c>
      <c r="EO3" s="119" t="s">
        <v>24</v>
      </c>
      <c r="EP3" s="119" t="s">
        <v>25</v>
      </c>
      <c r="EQ3" s="119">
        <v>101</v>
      </c>
      <c r="ER3" s="119">
        <v>102</v>
      </c>
      <c r="ES3" s="119">
        <v>103</v>
      </c>
      <c r="ET3" s="119">
        <v>104</v>
      </c>
      <c r="EU3" s="119">
        <v>201</v>
      </c>
      <c r="EV3" s="119">
        <v>202</v>
      </c>
      <c r="EW3" s="119">
        <v>203</v>
      </c>
      <c r="EX3" s="119">
        <v>204</v>
      </c>
      <c r="EY3" s="119">
        <v>205</v>
      </c>
      <c r="EZ3" s="119">
        <v>206</v>
      </c>
      <c r="FA3" s="119">
        <v>207</v>
      </c>
      <c r="FB3" s="119">
        <v>208</v>
      </c>
      <c r="FC3" s="119">
        <v>209</v>
      </c>
      <c r="FD3" s="119">
        <v>210</v>
      </c>
      <c r="FE3" s="119">
        <v>211</v>
      </c>
      <c r="FF3" s="119" t="s">
        <v>17</v>
      </c>
      <c r="FG3" s="119" t="s">
        <v>18</v>
      </c>
      <c r="FH3" s="119" t="s">
        <v>19</v>
      </c>
      <c r="FI3" s="119" t="s">
        <v>20</v>
      </c>
      <c r="FJ3" s="119" t="s">
        <v>21</v>
      </c>
      <c r="FK3" s="119" t="s">
        <v>22</v>
      </c>
      <c r="FL3" s="119" t="s">
        <v>23</v>
      </c>
      <c r="FM3" s="119" t="s">
        <v>24</v>
      </c>
      <c r="FN3" s="119" t="s">
        <v>25</v>
      </c>
      <c r="FO3" s="119">
        <v>101</v>
      </c>
      <c r="FP3" s="119">
        <v>102</v>
      </c>
      <c r="FQ3" s="119">
        <v>103</v>
      </c>
      <c r="FR3" s="119">
        <v>104</v>
      </c>
      <c r="FS3" s="119">
        <v>201</v>
      </c>
      <c r="FT3" s="119">
        <v>202</v>
      </c>
      <c r="FU3" s="119">
        <v>203</v>
      </c>
      <c r="FV3" s="119">
        <v>204</v>
      </c>
      <c r="FW3" s="119">
        <v>205</v>
      </c>
      <c r="FX3" s="119">
        <v>206</v>
      </c>
      <c r="FY3" s="119">
        <v>207</v>
      </c>
      <c r="FZ3" s="119">
        <v>208</v>
      </c>
      <c r="GA3" s="119">
        <v>209</v>
      </c>
      <c r="GB3" s="119">
        <v>210</v>
      </c>
      <c r="GC3" s="119">
        <v>211</v>
      </c>
      <c r="GD3" s="119" t="s">
        <v>17</v>
      </c>
      <c r="GE3" s="119" t="s">
        <v>18</v>
      </c>
      <c r="GF3" s="119" t="s">
        <v>19</v>
      </c>
      <c r="GG3" s="119" t="s">
        <v>20</v>
      </c>
      <c r="GH3" s="119" t="s">
        <v>21</v>
      </c>
      <c r="GI3" s="119" t="s">
        <v>22</v>
      </c>
      <c r="GJ3" s="119" t="s">
        <v>23</v>
      </c>
      <c r="GK3" s="119" t="s">
        <v>24</v>
      </c>
      <c r="GL3" s="119" t="s">
        <v>25</v>
      </c>
      <c r="GM3" s="119">
        <v>101</v>
      </c>
      <c r="GN3" s="119">
        <v>102</v>
      </c>
      <c r="GO3" s="119">
        <v>103</v>
      </c>
      <c r="GP3" s="119">
        <v>104</v>
      </c>
      <c r="GQ3" s="119">
        <v>201</v>
      </c>
      <c r="GR3" s="119">
        <v>202</v>
      </c>
      <c r="GS3" s="119">
        <v>203</v>
      </c>
      <c r="GT3" s="119">
        <v>204</v>
      </c>
      <c r="GU3" s="119">
        <v>205</v>
      </c>
      <c r="GV3" s="119">
        <v>206</v>
      </c>
      <c r="GW3" s="119">
        <v>207</v>
      </c>
      <c r="GX3" s="119">
        <v>208</v>
      </c>
      <c r="GY3" s="119">
        <v>209</v>
      </c>
      <c r="GZ3" s="119">
        <v>210</v>
      </c>
      <c r="HA3" s="119">
        <v>211</v>
      </c>
      <c r="HB3" s="119" t="s">
        <v>17</v>
      </c>
      <c r="HC3" s="119" t="s">
        <v>18</v>
      </c>
      <c r="HD3" s="119" t="s">
        <v>19</v>
      </c>
      <c r="HE3" s="119" t="s">
        <v>20</v>
      </c>
      <c r="HF3" s="119" t="s">
        <v>21</v>
      </c>
      <c r="HG3" s="119" t="s">
        <v>22</v>
      </c>
      <c r="HH3" s="119" t="s">
        <v>23</v>
      </c>
      <c r="HI3" s="119" t="s">
        <v>24</v>
      </c>
      <c r="HJ3" s="119" t="s">
        <v>25</v>
      </c>
      <c r="HK3" s="119">
        <v>101</v>
      </c>
      <c r="HL3" s="119">
        <v>102</v>
      </c>
      <c r="HM3" s="119">
        <v>103</v>
      </c>
      <c r="HN3" s="119">
        <v>104</v>
      </c>
      <c r="HO3" s="119">
        <v>201</v>
      </c>
      <c r="HP3" s="119">
        <v>202</v>
      </c>
      <c r="HQ3" s="119">
        <v>203</v>
      </c>
      <c r="HR3" s="119">
        <v>204</v>
      </c>
      <c r="HS3" s="119">
        <v>205</v>
      </c>
      <c r="HT3" s="119">
        <v>206</v>
      </c>
      <c r="HU3" s="119">
        <v>207</v>
      </c>
      <c r="HV3" s="119">
        <v>208</v>
      </c>
      <c r="HW3" s="119">
        <v>209</v>
      </c>
      <c r="HX3" s="119">
        <v>210</v>
      </c>
      <c r="HY3" s="119">
        <v>211</v>
      </c>
      <c r="HZ3" s="119" t="s">
        <v>17</v>
      </c>
      <c r="IA3" s="119" t="s">
        <v>18</v>
      </c>
      <c r="IB3" s="119" t="s">
        <v>19</v>
      </c>
      <c r="IC3" s="119" t="s">
        <v>20</v>
      </c>
      <c r="ID3" s="119" t="s">
        <v>21</v>
      </c>
      <c r="IE3" s="119" t="s">
        <v>22</v>
      </c>
      <c r="IF3" s="119" t="s">
        <v>23</v>
      </c>
      <c r="IG3" s="119" t="s">
        <v>24</v>
      </c>
      <c r="IH3" s="119" t="s">
        <v>25</v>
      </c>
      <c r="II3" s="119">
        <v>101</v>
      </c>
      <c r="IJ3" s="119">
        <v>102</v>
      </c>
      <c r="IK3" s="119">
        <v>103</v>
      </c>
      <c r="IL3" s="119">
        <v>104</v>
      </c>
      <c r="IM3" s="119">
        <v>201</v>
      </c>
      <c r="IN3" s="119">
        <v>202</v>
      </c>
      <c r="IO3" s="119">
        <v>203</v>
      </c>
      <c r="IP3" s="119">
        <v>204</v>
      </c>
      <c r="IQ3" s="119">
        <v>205</v>
      </c>
      <c r="IR3" s="119">
        <v>206</v>
      </c>
      <c r="IS3" s="119">
        <v>207</v>
      </c>
      <c r="IT3" s="119">
        <v>208</v>
      </c>
      <c r="IU3" s="119">
        <v>209</v>
      </c>
      <c r="IV3" s="119">
        <v>210</v>
      </c>
      <c r="IW3" s="119">
        <v>211</v>
      </c>
      <c r="IX3" s="119" t="s">
        <v>17</v>
      </c>
      <c r="IY3" s="119" t="s">
        <v>18</v>
      </c>
      <c r="IZ3" s="119" t="s">
        <v>19</v>
      </c>
      <c r="JA3" s="119" t="s">
        <v>20</v>
      </c>
      <c r="JB3" s="119" t="s">
        <v>21</v>
      </c>
      <c r="JC3" s="119" t="s">
        <v>22</v>
      </c>
      <c r="JD3" s="119" t="s">
        <v>23</v>
      </c>
      <c r="JE3" s="119" t="s">
        <v>24</v>
      </c>
      <c r="JF3" s="119" t="s">
        <v>25</v>
      </c>
      <c r="JG3" s="119">
        <v>101</v>
      </c>
      <c r="JH3" s="119">
        <v>102</v>
      </c>
      <c r="JI3" s="119">
        <v>103</v>
      </c>
      <c r="JJ3" s="119">
        <v>104</v>
      </c>
      <c r="JK3" s="119">
        <v>201</v>
      </c>
      <c r="JL3" s="119">
        <v>202</v>
      </c>
      <c r="JM3" s="119">
        <v>203</v>
      </c>
      <c r="JN3" s="119">
        <v>204</v>
      </c>
      <c r="JO3" s="119">
        <v>205</v>
      </c>
      <c r="JP3" s="119">
        <v>206</v>
      </c>
      <c r="JQ3" s="119">
        <v>207</v>
      </c>
      <c r="JR3" s="120">
        <v>208</v>
      </c>
      <c r="JS3" s="120">
        <v>209</v>
      </c>
      <c r="JT3" s="120">
        <v>210</v>
      </c>
      <c r="JU3" s="120">
        <v>211</v>
      </c>
      <c r="JV3" s="119" t="s">
        <v>17</v>
      </c>
      <c r="JW3" s="119" t="s">
        <v>18</v>
      </c>
      <c r="JX3" s="119" t="s">
        <v>19</v>
      </c>
      <c r="JY3" s="119" t="s">
        <v>20</v>
      </c>
      <c r="JZ3" s="119" t="s">
        <v>21</v>
      </c>
      <c r="KA3" s="119" t="s">
        <v>22</v>
      </c>
      <c r="KB3" s="119" t="s">
        <v>23</v>
      </c>
      <c r="KC3" s="119" t="s">
        <v>24</v>
      </c>
      <c r="KD3" s="119" t="s">
        <v>25</v>
      </c>
    </row>
    <row r="4" spans="1:290" s="115" customFormat="1" ht="17" customHeight="1" x14ac:dyDescent="0.3">
      <c r="A4" s="144" t="s">
        <v>157</v>
      </c>
      <c r="B4" s="147" t="s">
        <v>158</v>
      </c>
      <c r="C4" s="121" t="s">
        <v>111</v>
      </c>
      <c r="D4" s="121" t="s">
        <v>111</v>
      </c>
      <c r="E4" s="121" t="s">
        <v>111</v>
      </c>
      <c r="F4" s="121" t="s">
        <v>111</v>
      </c>
      <c r="G4" s="121" t="s">
        <v>111</v>
      </c>
      <c r="H4" s="121" t="s">
        <v>111</v>
      </c>
      <c r="I4" s="121" t="s">
        <v>111</v>
      </c>
      <c r="J4" s="121" t="s">
        <v>111</v>
      </c>
      <c r="K4" s="121" t="s">
        <v>111</v>
      </c>
      <c r="L4" s="121" t="s">
        <v>111</v>
      </c>
      <c r="M4" s="121" t="s">
        <v>111</v>
      </c>
      <c r="N4" s="121" t="s">
        <v>111</v>
      </c>
      <c r="O4" s="121" t="s">
        <v>111</v>
      </c>
      <c r="P4" s="121" t="s">
        <v>111</v>
      </c>
      <c r="Q4" s="121" t="s">
        <v>111</v>
      </c>
      <c r="R4" s="121"/>
      <c r="S4" s="121"/>
      <c r="T4" s="121"/>
      <c r="U4" s="121"/>
      <c r="V4" s="121"/>
      <c r="W4" s="121"/>
      <c r="X4" s="121"/>
      <c r="Y4" s="121"/>
      <c r="Z4" s="121"/>
      <c r="AA4" s="122" t="s">
        <v>113</v>
      </c>
      <c r="AB4" s="122" t="s">
        <v>113</v>
      </c>
      <c r="AC4" s="122" t="s">
        <v>113</v>
      </c>
      <c r="AD4" s="122" t="s">
        <v>113</v>
      </c>
      <c r="AE4" s="122" t="s">
        <v>112</v>
      </c>
      <c r="AF4" s="122" t="s">
        <v>112</v>
      </c>
      <c r="AG4" s="122" t="s">
        <v>112</v>
      </c>
      <c r="AH4" s="122" t="s">
        <v>112</v>
      </c>
      <c r="AI4" s="122" t="s">
        <v>112</v>
      </c>
      <c r="AJ4" s="122" t="s">
        <v>112</v>
      </c>
      <c r="AK4" s="122" t="s">
        <v>112</v>
      </c>
      <c r="AL4" s="122" t="s">
        <v>112</v>
      </c>
      <c r="AM4" s="122" t="s">
        <v>112</v>
      </c>
      <c r="AN4" s="122" t="s">
        <v>112</v>
      </c>
      <c r="AO4" s="122" t="s">
        <v>112</v>
      </c>
      <c r="AP4" s="122"/>
      <c r="AQ4" s="122"/>
      <c r="AR4" s="122"/>
      <c r="AS4" s="122"/>
      <c r="AT4" s="122"/>
      <c r="AU4" s="122"/>
      <c r="AV4" s="122"/>
      <c r="AW4" s="122"/>
      <c r="AX4" s="122"/>
      <c r="AY4" s="121" t="s">
        <v>112</v>
      </c>
      <c r="AZ4" s="121" t="s">
        <v>112</v>
      </c>
      <c r="BA4" s="121" t="s">
        <v>112</v>
      </c>
      <c r="BB4" s="121" t="s">
        <v>112</v>
      </c>
      <c r="BC4" s="121" t="s">
        <v>113</v>
      </c>
      <c r="BD4" s="121" t="s">
        <v>113</v>
      </c>
      <c r="BE4" s="121" t="s">
        <v>116</v>
      </c>
      <c r="BF4" s="121" t="s">
        <v>116</v>
      </c>
      <c r="BG4" s="121" t="s">
        <v>113</v>
      </c>
      <c r="BH4" s="121" t="s">
        <v>113</v>
      </c>
      <c r="BI4" s="121" t="s">
        <v>114</v>
      </c>
      <c r="BJ4" s="121" t="s">
        <v>114</v>
      </c>
      <c r="BK4" s="121" t="s">
        <v>114</v>
      </c>
      <c r="BL4" s="121" t="s">
        <v>114</v>
      </c>
      <c r="BM4" s="121" t="s">
        <v>114</v>
      </c>
      <c r="BN4" s="121"/>
      <c r="BO4" s="121"/>
      <c r="BP4" s="121"/>
      <c r="BQ4" s="121"/>
      <c r="BR4" s="121"/>
      <c r="BS4" s="121"/>
      <c r="BT4" s="121"/>
      <c r="BU4" s="121"/>
      <c r="BV4" s="121"/>
      <c r="BW4" s="122" t="s">
        <v>111</v>
      </c>
      <c r="BX4" s="122" t="s">
        <v>111</v>
      </c>
      <c r="BY4" s="122" t="s">
        <v>111</v>
      </c>
      <c r="BZ4" s="122" t="s">
        <v>111</v>
      </c>
      <c r="CA4" s="122" t="s">
        <v>112</v>
      </c>
      <c r="CB4" s="122" t="s">
        <v>112</v>
      </c>
      <c r="CC4" s="122" t="s">
        <v>112</v>
      </c>
      <c r="CD4" s="122" t="s">
        <v>112</v>
      </c>
      <c r="CE4" s="122" t="s">
        <v>115</v>
      </c>
      <c r="CF4" s="122" t="s">
        <v>115</v>
      </c>
      <c r="CG4" s="122" t="s">
        <v>115</v>
      </c>
      <c r="CH4" s="122" t="s">
        <v>115</v>
      </c>
      <c r="CI4" s="122" t="s">
        <v>115</v>
      </c>
      <c r="CJ4" s="122" t="s">
        <v>115</v>
      </c>
      <c r="CK4" s="122" t="s">
        <v>115</v>
      </c>
      <c r="CL4" s="122"/>
      <c r="CM4" s="122"/>
      <c r="CN4" s="122"/>
      <c r="CO4" s="122"/>
      <c r="CP4" s="122"/>
      <c r="CQ4" s="122"/>
      <c r="CR4" s="122"/>
      <c r="CS4" s="122"/>
      <c r="CT4" s="122"/>
      <c r="CU4" s="121" t="s">
        <v>114</v>
      </c>
      <c r="CV4" s="121" t="s">
        <v>114</v>
      </c>
      <c r="CW4" s="121" t="s">
        <v>114</v>
      </c>
      <c r="CX4" s="121" t="s">
        <v>114</v>
      </c>
      <c r="CY4" s="121" t="s">
        <v>111</v>
      </c>
      <c r="CZ4" s="121" t="s">
        <v>111</v>
      </c>
      <c r="DA4" s="121" t="s">
        <v>111</v>
      </c>
      <c r="DB4" s="121" t="s">
        <v>111</v>
      </c>
      <c r="DC4" s="121" t="s">
        <v>116</v>
      </c>
      <c r="DD4" s="121" t="s">
        <v>116</v>
      </c>
      <c r="DE4" s="121" t="s">
        <v>116</v>
      </c>
      <c r="DF4" s="121" t="s">
        <v>116</v>
      </c>
      <c r="DG4" s="121" t="s">
        <v>116</v>
      </c>
      <c r="DH4" s="121" t="s">
        <v>116</v>
      </c>
      <c r="DI4" s="121" t="s">
        <v>116</v>
      </c>
      <c r="DJ4" s="121"/>
      <c r="DK4" s="121"/>
      <c r="DL4" s="121"/>
      <c r="DM4" s="121"/>
      <c r="DN4" s="121"/>
      <c r="DO4" s="121"/>
      <c r="DP4" s="121"/>
      <c r="DQ4" s="121"/>
      <c r="DR4" s="121"/>
      <c r="DS4" s="122" t="s">
        <v>112</v>
      </c>
      <c r="DT4" s="122" t="s">
        <v>112</v>
      </c>
      <c r="DU4" s="122" t="s">
        <v>112</v>
      </c>
      <c r="DV4" s="122" t="s">
        <v>112</v>
      </c>
      <c r="DW4" s="122" t="s">
        <v>113</v>
      </c>
      <c r="DX4" s="122" t="s">
        <v>113</v>
      </c>
      <c r="DY4" s="122" t="s">
        <v>116</v>
      </c>
      <c r="DZ4" s="122" t="s">
        <v>116</v>
      </c>
      <c r="EA4" s="122" t="s">
        <v>112</v>
      </c>
      <c r="EB4" s="122" t="s">
        <v>112</v>
      </c>
      <c r="EC4" s="122" t="s">
        <v>112</v>
      </c>
      <c r="ED4" s="122" t="s">
        <v>112</v>
      </c>
      <c r="EE4" s="122" t="s">
        <v>112</v>
      </c>
      <c r="EF4" s="122" t="s">
        <v>112</v>
      </c>
      <c r="EG4" s="122" t="s">
        <v>112</v>
      </c>
      <c r="EH4" s="122"/>
      <c r="EI4" s="122"/>
      <c r="EJ4" s="122"/>
      <c r="EK4" s="122"/>
      <c r="EL4" s="122"/>
      <c r="EM4" s="122"/>
      <c r="EN4" s="122"/>
      <c r="EO4" s="122"/>
      <c r="EP4" s="122"/>
      <c r="EQ4" s="121" t="s">
        <v>111</v>
      </c>
      <c r="ER4" s="121" t="s">
        <v>111</v>
      </c>
      <c r="ES4" s="121" t="s">
        <v>111</v>
      </c>
      <c r="ET4" s="121" t="s">
        <v>111</v>
      </c>
      <c r="EU4" s="121" t="s">
        <v>111</v>
      </c>
      <c r="EV4" s="121" t="s">
        <v>111</v>
      </c>
      <c r="EW4" s="121" t="s">
        <v>111</v>
      </c>
      <c r="EX4" s="121" t="s">
        <v>111</v>
      </c>
      <c r="EY4" s="121" t="s">
        <v>111</v>
      </c>
      <c r="EZ4" s="121" t="s">
        <v>111</v>
      </c>
      <c r="FA4" s="121" t="s">
        <v>111</v>
      </c>
      <c r="FB4" s="121" t="s">
        <v>111</v>
      </c>
      <c r="FC4" s="121" t="s">
        <v>111</v>
      </c>
      <c r="FD4" s="121" t="s">
        <v>111</v>
      </c>
      <c r="FE4" s="121" t="s">
        <v>111</v>
      </c>
      <c r="FF4" s="121"/>
      <c r="FG4" s="121"/>
      <c r="FH4" s="121"/>
      <c r="FI4" s="121"/>
      <c r="FJ4" s="121"/>
      <c r="FK4" s="121"/>
      <c r="FL4" s="121"/>
      <c r="FM4" s="121"/>
      <c r="FN4" s="121"/>
      <c r="FO4" s="122" t="s">
        <v>115</v>
      </c>
      <c r="FP4" s="122" t="s">
        <v>115</v>
      </c>
      <c r="FQ4" s="122" t="s">
        <v>115</v>
      </c>
      <c r="FR4" s="122" t="s">
        <v>115</v>
      </c>
      <c r="FS4" s="122" t="s">
        <v>112</v>
      </c>
      <c r="FT4" s="122" t="s">
        <v>112</v>
      </c>
      <c r="FU4" s="122" t="s">
        <v>112</v>
      </c>
      <c r="FV4" s="122" t="s">
        <v>112</v>
      </c>
      <c r="FW4" s="122" t="s">
        <v>113</v>
      </c>
      <c r="FX4" s="122" t="s">
        <v>113</v>
      </c>
      <c r="FY4" s="122" t="s">
        <v>114</v>
      </c>
      <c r="FZ4" s="122" t="s">
        <v>114</v>
      </c>
      <c r="GA4" s="122" t="s">
        <v>114</v>
      </c>
      <c r="GB4" s="122" t="s">
        <v>114</v>
      </c>
      <c r="GC4" s="122" t="s">
        <v>114</v>
      </c>
      <c r="GD4" s="122"/>
      <c r="GE4" s="122"/>
      <c r="GF4" s="122"/>
      <c r="GG4" s="122"/>
      <c r="GH4" s="122"/>
      <c r="GI4" s="122"/>
      <c r="GJ4" s="122"/>
      <c r="GK4" s="122"/>
      <c r="GL4" s="122"/>
      <c r="GM4" s="121" t="s">
        <v>112</v>
      </c>
      <c r="GN4" s="121" t="s">
        <v>112</v>
      </c>
      <c r="GO4" s="121" t="s">
        <v>112</v>
      </c>
      <c r="GP4" s="121" t="s">
        <v>112</v>
      </c>
      <c r="GQ4" s="121" t="s">
        <v>113</v>
      </c>
      <c r="GR4" s="121" t="s">
        <v>113</v>
      </c>
      <c r="GS4" s="121" t="s">
        <v>116</v>
      </c>
      <c r="GT4" s="121" t="s">
        <v>116</v>
      </c>
      <c r="GU4" s="121" t="s">
        <v>115</v>
      </c>
      <c r="GV4" s="121" t="s">
        <v>115</v>
      </c>
      <c r="GW4" s="121" t="s">
        <v>115</v>
      </c>
      <c r="GX4" s="121" t="s">
        <v>115</v>
      </c>
      <c r="GY4" s="121" t="s">
        <v>115</v>
      </c>
      <c r="GZ4" s="121" t="s">
        <v>115</v>
      </c>
      <c r="HA4" s="121" t="s">
        <v>115</v>
      </c>
      <c r="HB4" s="121"/>
      <c r="HC4" s="121"/>
      <c r="HD4" s="121"/>
      <c r="HE4" s="121"/>
      <c r="HF4" s="121"/>
      <c r="HG4" s="121"/>
      <c r="HH4" s="121"/>
      <c r="HI4" s="121"/>
      <c r="HJ4" s="121"/>
      <c r="HK4" s="122" t="s">
        <v>111</v>
      </c>
      <c r="HL4" s="122" t="s">
        <v>111</v>
      </c>
      <c r="HM4" s="122" t="s">
        <v>111</v>
      </c>
      <c r="HN4" s="122" t="s">
        <v>111</v>
      </c>
      <c r="HO4" s="122" t="s">
        <v>112</v>
      </c>
      <c r="HP4" s="122" t="s">
        <v>112</v>
      </c>
      <c r="HQ4" s="122" t="s">
        <v>112</v>
      </c>
      <c r="HR4" s="122" t="s">
        <v>112</v>
      </c>
      <c r="HS4" s="122" t="s">
        <v>116</v>
      </c>
      <c r="HT4" s="122" t="s">
        <v>116</v>
      </c>
      <c r="HU4" s="122" t="s">
        <v>116</v>
      </c>
      <c r="HV4" s="122" t="s">
        <v>116</v>
      </c>
      <c r="HW4" s="122" t="s">
        <v>116</v>
      </c>
      <c r="HX4" s="122" t="s">
        <v>116</v>
      </c>
      <c r="HY4" s="122" t="s">
        <v>116</v>
      </c>
      <c r="HZ4" s="122"/>
      <c r="IA4" s="122"/>
      <c r="IB4" s="122"/>
      <c r="IC4" s="122"/>
      <c r="ID4" s="122"/>
      <c r="IE4" s="122"/>
      <c r="IF4" s="122"/>
      <c r="IG4" s="122"/>
      <c r="IH4" s="122"/>
      <c r="II4" s="121" t="s">
        <v>116</v>
      </c>
      <c r="IJ4" s="121" t="s">
        <v>116</v>
      </c>
      <c r="IK4" s="121" t="s">
        <v>116</v>
      </c>
      <c r="IL4" s="121" t="s">
        <v>116</v>
      </c>
      <c r="IM4" s="121" t="s">
        <v>111</v>
      </c>
      <c r="IN4" s="121" t="s">
        <v>111</v>
      </c>
      <c r="IO4" s="121" t="s">
        <v>111</v>
      </c>
      <c r="IP4" s="121" t="s">
        <v>111</v>
      </c>
      <c r="IQ4" s="121" t="s">
        <v>111</v>
      </c>
      <c r="IR4" s="121" t="s">
        <v>111</v>
      </c>
      <c r="IS4" s="121" t="s">
        <v>111</v>
      </c>
      <c r="IT4" s="121" t="s">
        <v>111</v>
      </c>
      <c r="IU4" s="121" t="s">
        <v>111</v>
      </c>
      <c r="IV4" s="121" t="s">
        <v>111</v>
      </c>
      <c r="IW4" s="121" t="s">
        <v>111</v>
      </c>
      <c r="IX4" s="121"/>
      <c r="IY4" s="121"/>
      <c r="IZ4" s="121"/>
      <c r="JA4" s="121"/>
      <c r="JB4" s="121"/>
      <c r="JC4" s="121"/>
      <c r="JD4" s="121"/>
      <c r="JE4" s="121"/>
      <c r="JF4" s="121"/>
      <c r="JG4" s="122" t="s">
        <v>112</v>
      </c>
      <c r="JH4" s="122" t="s">
        <v>112</v>
      </c>
      <c r="JI4" s="122" t="s">
        <v>112</v>
      </c>
      <c r="JJ4" s="122" t="s">
        <v>112</v>
      </c>
      <c r="JK4" s="122" t="s">
        <v>113</v>
      </c>
      <c r="JL4" s="122" t="s">
        <v>113</v>
      </c>
      <c r="JM4" s="122" t="s">
        <v>116</v>
      </c>
      <c r="JN4" s="122" t="s">
        <v>116</v>
      </c>
      <c r="JO4" s="122" t="s">
        <v>112</v>
      </c>
      <c r="JP4" s="122" t="s">
        <v>112</v>
      </c>
      <c r="JQ4" s="122" t="s">
        <v>112</v>
      </c>
      <c r="JR4" s="122" t="s">
        <v>112</v>
      </c>
      <c r="JS4" s="122" t="s">
        <v>112</v>
      </c>
      <c r="JT4" s="122" t="s">
        <v>112</v>
      </c>
      <c r="JU4" s="122" t="s">
        <v>112</v>
      </c>
      <c r="JV4" s="122"/>
      <c r="JW4" s="122"/>
      <c r="JX4" s="122"/>
      <c r="JY4" s="122"/>
      <c r="JZ4" s="122"/>
      <c r="KA4" s="122"/>
      <c r="KB4" s="122"/>
      <c r="KC4" s="122"/>
      <c r="KD4" s="122"/>
    </row>
    <row r="5" spans="1:290" s="115" customFormat="1" ht="17" customHeight="1" x14ac:dyDescent="0.4">
      <c r="A5" s="144"/>
      <c r="B5" s="147"/>
      <c r="C5" s="123">
        <f>IFERROR(VLOOKUP(C4,教师安排!$A:$Y,C$2+1,FALSE),"")</f>
        <v>0</v>
      </c>
      <c r="D5" s="123">
        <f>IFERROR(VLOOKUP(D4,教师安排!$A:$Y,D$2+1,FALSE),"")</f>
        <v>0</v>
      </c>
      <c r="E5" s="123">
        <f>IFERROR(VLOOKUP(E4,教师安排!$A:$Y,E$2+1,FALSE),"")</f>
        <v>0</v>
      </c>
      <c r="F5" s="123">
        <f>IFERROR(VLOOKUP(F4,教师安排!$A:$Y,F$2+1,FALSE),"")</f>
        <v>0</v>
      </c>
      <c r="G5" s="123">
        <f>IFERROR(VLOOKUP(G4,教师安排!$A:$Y,G$2+1,FALSE),"")</f>
        <v>0</v>
      </c>
      <c r="H5" s="123">
        <f>IFERROR(VLOOKUP(H4,教师安排!$A:$Y,H$2+1,FALSE),"")</f>
        <v>0</v>
      </c>
      <c r="I5" s="123">
        <f>IFERROR(VLOOKUP(I4,教师安排!$A:$Y,I$2+1,FALSE),"")</f>
        <v>0</v>
      </c>
      <c r="J5" s="123">
        <f>IFERROR(VLOOKUP(J4,教师安排!$A:$Y,J$2+1,FALSE),"")</f>
        <v>0</v>
      </c>
      <c r="K5" s="123">
        <f>IFERROR(VLOOKUP(K4,教师安排!$A:$Y,K$2+1,FALSE),"")</f>
        <v>0</v>
      </c>
      <c r="L5" s="123">
        <f>IFERROR(VLOOKUP(L4,教师安排!$A:$Y,L$2+1,FALSE),"")</f>
        <v>0</v>
      </c>
      <c r="M5" s="123">
        <f>IFERROR(VLOOKUP(M4,教师安排!$A:$Y,M$2+1,FALSE),"")</f>
        <v>0</v>
      </c>
      <c r="N5" s="123">
        <f>IFERROR(VLOOKUP(N4,教师安排!$A:$Y,N$2+1,FALSE),"")</f>
        <v>0</v>
      </c>
      <c r="O5" s="123">
        <f>IFERROR(VLOOKUP(O4,教师安排!$A:$Y,O$2+1,FALSE),"")</f>
        <v>0</v>
      </c>
      <c r="P5" s="123">
        <f>IFERROR(VLOOKUP(P4,教师安排!$A:$Y,P$2+1,FALSE),"")</f>
        <v>0</v>
      </c>
      <c r="Q5" s="123">
        <f>IFERROR(VLOOKUP(Q4,教师安排!$A:$Y,Q$2+1,FALSE),"")</f>
        <v>0</v>
      </c>
      <c r="R5" s="123" t="str">
        <f>IFERROR(VLOOKUP(R4,教师安排!$A:$Y,R$2+1,FALSE),"")</f>
        <v/>
      </c>
      <c r="S5" s="123" t="str">
        <f>IFERROR(VLOOKUP(S4,教师安排!$A:$Y,S$2+1,FALSE),"")</f>
        <v/>
      </c>
      <c r="T5" s="123" t="str">
        <f>IFERROR(VLOOKUP(T4,教师安排!$A:$Y,T$2+1,FALSE),"")</f>
        <v/>
      </c>
      <c r="U5" s="123" t="str">
        <f>IFERROR(VLOOKUP(U4,教师安排!$A:$Y,U$2+1,FALSE),"")</f>
        <v/>
      </c>
      <c r="V5" s="123"/>
      <c r="W5" s="123" t="str">
        <f>IFERROR(VLOOKUP(W4,教师安排!$A:$Y,W$2+1,FALSE),"")</f>
        <v/>
      </c>
      <c r="X5" s="123" t="str">
        <f>IFERROR(VLOOKUP(X4,教师安排!$A:$Y,X$2+1,FALSE),"")</f>
        <v/>
      </c>
      <c r="Y5" s="123" t="str">
        <f>IFERROR(VLOOKUP(Y4,教师安排!$A:$Y,Y$2+1,FALSE),"")</f>
        <v/>
      </c>
      <c r="Z5" s="123" t="str">
        <f>IFERROR(VLOOKUP(Z4,教师安排!$A:$Y,Z$2+1,FALSE),"")</f>
        <v/>
      </c>
      <c r="AA5" s="124">
        <f>IFERROR(VLOOKUP(AA4,教师安排!$A:$Y,AA$2+1,FALSE),"")</f>
        <v>0</v>
      </c>
      <c r="AB5" s="124">
        <f>IFERROR(VLOOKUP(AB4,教师安排!$A:$Y,AB$2+1,FALSE),"")</f>
        <v>0</v>
      </c>
      <c r="AC5" s="124">
        <f>IFERROR(VLOOKUP(AC4,教师安排!$A:$Y,AC$2+1,FALSE),"")</f>
        <v>0</v>
      </c>
      <c r="AD5" s="124">
        <f>IFERROR(VLOOKUP(AD4,教师安排!$A:$Y,AD$2+1,FALSE),"")</f>
        <v>0</v>
      </c>
      <c r="AE5" s="124">
        <f>IFERROR(VLOOKUP(AE4,教师安排!$A:$Y,AE$2+1,FALSE),"")</f>
        <v>0</v>
      </c>
      <c r="AF5" s="124">
        <f>IFERROR(VLOOKUP(AF4,教师安排!$A:$Y,AF$2+1,FALSE),"")</f>
        <v>0</v>
      </c>
      <c r="AG5" s="124">
        <f>IFERROR(VLOOKUP(AG4,教师安排!$A:$Y,AG$2+1,FALSE),"")</f>
        <v>0</v>
      </c>
      <c r="AH5" s="124">
        <f>IFERROR(VLOOKUP(AH4,教师安排!$A:$Y,AH$2+1,FALSE),"")</f>
        <v>0</v>
      </c>
      <c r="AI5" s="124">
        <f>IFERROR(VLOOKUP(AI4,教师安排!$A:$Y,AI$2+1,FALSE),"")</f>
        <v>0</v>
      </c>
      <c r="AJ5" s="124">
        <f>IFERROR(VLOOKUP(AJ4,教师安排!$A:$Y,AJ$2+1,FALSE),"")</f>
        <v>0</v>
      </c>
      <c r="AK5" s="124">
        <f>IFERROR(VLOOKUP(AK4,教师安排!$A:$Y,AK$2+1,FALSE),"")</f>
        <v>0</v>
      </c>
      <c r="AL5" s="124">
        <f>IFERROR(VLOOKUP(AL4,教师安排!$A:$Y,AL$2+1,FALSE),"")</f>
        <v>0</v>
      </c>
      <c r="AM5" s="124">
        <f>IFERROR(VLOOKUP(AM4,教师安排!$A:$Y,AM$2+1,FALSE),"")</f>
        <v>0</v>
      </c>
      <c r="AN5" s="124">
        <f>IFERROR(VLOOKUP(AN4,教师安排!$A:$Y,AN$2+1,FALSE),"")</f>
        <v>0</v>
      </c>
      <c r="AO5" s="124">
        <f>IFERROR(VLOOKUP(AO4,教师安排!$A:$Y,AO$2+1,FALSE),"")</f>
        <v>0</v>
      </c>
      <c r="AP5" s="124" t="str">
        <f>IFERROR(VLOOKUP(AP4,教师安排!$A:$Y,AP$2+1,FALSE),"")</f>
        <v/>
      </c>
      <c r="AQ5" s="124" t="str">
        <f>IFERROR(VLOOKUP(AQ4,教师安排!$A:$Y,AQ$2+1,FALSE),"")</f>
        <v/>
      </c>
      <c r="AR5" s="124" t="str">
        <f>IFERROR(VLOOKUP(AR4,教师安排!$A:$Y,AR$2+1,FALSE),"")</f>
        <v/>
      </c>
      <c r="AS5" s="124" t="str">
        <f>IFERROR(VLOOKUP(AS4,教师安排!$A:$Y,AS$2+1,FALSE),"")</f>
        <v/>
      </c>
      <c r="AT5" s="124"/>
      <c r="AU5" s="124"/>
      <c r="AV5" s="124"/>
      <c r="AW5" s="124"/>
      <c r="AX5" s="124"/>
      <c r="AY5" s="123">
        <f>IFERROR(VLOOKUP(AY4,教师安排!$A:$Y,AY$2+1,FALSE),"")</f>
        <v>0</v>
      </c>
      <c r="AZ5" s="123">
        <f>IFERROR(VLOOKUP(AZ4,教师安排!$A:$Y,AZ$2+1,FALSE),"")</f>
        <v>0</v>
      </c>
      <c r="BA5" s="123">
        <f>IFERROR(VLOOKUP(BA4,教师安排!$A:$Y,BA$2+1,FALSE),"")</f>
        <v>0</v>
      </c>
      <c r="BB5" s="123">
        <f>IFERROR(VLOOKUP(BB4,教师安排!$A:$Y,BB$2+1,FALSE),"")</f>
        <v>0</v>
      </c>
      <c r="BC5" s="123">
        <f>IFERROR(VLOOKUP(BC4,教师安排!$A:$Y,BC$2+1,FALSE),"")</f>
        <v>0</v>
      </c>
      <c r="BD5" s="123">
        <f>IFERROR(VLOOKUP(BD4,教师安排!$A:$Y,BD$2+1,FALSE),"")</f>
        <v>0</v>
      </c>
      <c r="BE5" s="123">
        <f>IFERROR(VLOOKUP(BE4,教师安排!$A:$Y,BE$2+1,FALSE),"")</f>
        <v>0</v>
      </c>
      <c r="BF5" s="123">
        <f>IFERROR(VLOOKUP(BF4,教师安排!$A:$Y,BF$2+1,FALSE),"")</f>
        <v>0</v>
      </c>
      <c r="BG5" s="123">
        <f>IFERROR(VLOOKUP(BG4,教师安排!$A:$Y,BG$2+1,FALSE),"")</f>
        <v>0</v>
      </c>
      <c r="BH5" s="123">
        <f>IFERROR(VLOOKUP(BH4,教师安排!$A:$Y,BH$2+1,FALSE),"")</f>
        <v>0</v>
      </c>
      <c r="BI5" s="123">
        <f>IFERROR(VLOOKUP(BI4,教师安排!$A:$Y,BI$2+1,FALSE),"")</f>
        <v>0</v>
      </c>
      <c r="BJ5" s="123">
        <f>IFERROR(VLOOKUP(BJ4,教师安排!$A:$Y,BJ$2+1,FALSE),"")</f>
        <v>0</v>
      </c>
      <c r="BK5" s="123">
        <f>IFERROR(VLOOKUP(BK4,教师安排!$A:$Y,BK$2+1,FALSE),"")</f>
        <v>0</v>
      </c>
      <c r="BL5" s="123">
        <f>IFERROR(VLOOKUP(BL4,教师安排!$A:$Y,BL$2+1,FALSE),"")</f>
        <v>0</v>
      </c>
      <c r="BM5" s="123">
        <f>IFERROR(VLOOKUP(BM4,教师安排!$A:$Y,BM$2+1,FALSE),"")</f>
        <v>0</v>
      </c>
      <c r="BN5" s="123" t="str">
        <f>IFERROR(VLOOKUP(BN4,教师安排!$A:$Y,BN$2+1,FALSE),"")</f>
        <v/>
      </c>
      <c r="BO5" s="123" t="str">
        <f>IFERROR(VLOOKUP(BO4,教师安排!$A:$Y,BO$2+1,FALSE),"")</f>
        <v/>
      </c>
      <c r="BP5" s="123" t="str">
        <f>IFERROR(VLOOKUP(BP4,教师安排!$A:$Y,BP$2+1,FALSE),"")</f>
        <v/>
      </c>
      <c r="BQ5" s="123" t="str">
        <f>IFERROR(VLOOKUP(BQ4,教师安排!$A:$Y,BQ$2+1,FALSE),"")</f>
        <v/>
      </c>
      <c r="BR5" s="123"/>
      <c r="BS5" s="123" t="str">
        <f>IFERROR(VLOOKUP(BS4,教师安排!$A:$Y,BS$2+1,FALSE),"")</f>
        <v/>
      </c>
      <c r="BT5" s="123" t="str">
        <f>IFERROR(VLOOKUP(BT4,教师安排!$A:$Y,BT$2+1,FALSE),"")</f>
        <v/>
      </c>
      <c r="BU5" s="123" t="str">
        <f>IFERROR(VLOOKUP(BU4,教师安排!$A:$Y,BU$2+1,FALSE),"")</f>
        <v/>
      </c>
      <c r="BV5" s="123" t="str">
        <f>IFERROR(VLOOKUP(BV4,教师安排!$A:$Y,BV$2+1,FALSE),"")</f>
        <v/>
      </c>
      <c r="BW5" s="124">
        <f>IFERROR(VLOOKUP(BW4,教师安排!$A:$Y,BW$2+1,FALSE),"")</f>
        <v>0</v>
      </c>
      <c r="BX5" s="124">
        <f>IFERROR(VLOOKUP(BX4,教师安排!$A:$Y,BX$2+1,FALSE),"")</f>
        <v>0</v>
      </c>
      <c r="BY5" s="124">
        <f>IFERROR(VLOOKUP(BY4,教师安排!$A:$Y,BY$2+1,FALSE),"")</f>
        <v>0</v>
      </c>
      <c r="BZ5" s="124">
        <f>IFERROR(VLOOKUP(BZ4,教师安排!$A:$Y,BZ$2+1,FALSE),"")</f>
        <v>0</v>
      </c>
      <c r="CA5" s="124">
        <f>IFERROR(VLOOKUP(CA4,教师安排!$A:$Y,CA$2+1,FALSE),"")</f>
        <v>0</v>
      </c>
      <c r="CB5" s="124">
        <f>IFERROR(VLOOKUP(CB4,教师安排!$A:$Y,CB$2+1,FALSE),"")</f>
        <v>0</v>
      </c>
      <c r="CC5" s="124">
        <f>IFERROR(VLOOKUP(CC4,教师安排!$A:$Y,CC$2+1,FALSE),"")</f>
        <v>0</v>
      </c>
      <c r="CD5" s="124">
        <f>IFERROR(VLOOKUP(CD4,教师安排!$A:$Y,CD$2+1,FALSE),"")</f>
        <v>0</v>
      </c>
      <c r="CE5" s="124">
        <f>IFERROR(VLOOKUP(CE4,教师安排!$A:$Y,CE$2+1,FALSE),"")</f>
        <v>0</v>
      </c>
      <c r="CF5" s="124">
        <f>IFERROR(VLOOKUP(CF4,教师安排!$A:$Y,CF$2+1,FALSE),"")</f>
        <v>0</v>
      </c>
      <c r="CG5" s="124">
        <f>IFERROR(VLOOKUP(CG4,教师安排!$A:$Y,CG$2+1,FALSE),"")</f>
        <v>0</v>
      </c>
      <c r="CH5" s="124">
        <f>IFERROR(VLOOKUP(CH4,教师安排!$A:$Y,CH$2+1,FALSE),"")</f>
        <v>0</v>
      </c>
      <c r="CI5" s="124">
        <f>IFERROR(VLOOKUP(CI4,教师安排!$A:$Y,CI$2+1,FALSE),"")</f>
        <v>0</v>
      </c>
      <c r="CJ5" s="124">
        <f>IFERROR(VLOOKUP(CJ4,教师安排!$A:$Y,CJ$2+1,FALSE),"")</f>
        <v>0</v>
      </c>
      <c r="CK5" s="124">
        <f>IFERROR(VLOOKUP(CK4,教师安排!$A:$Y,CK$2+1,FALSE),"")</f>
        <v>0</v>
      </c>
      <c r="CL5" s="124" t="str">
        <f>IFERROR(VLOOKUP(CL4,教师安排!$A:$Y,CL$2+1,FALSE),"")</f>
        <v/>
      </c>
      <c r="CM5" s="124" t="str">
        <f>IFERROR(VLOOKUP(CM4,教师安排!$A:$Y,CM$2+1,FALSE),"")</f>
        <v/>
      </c>
      <c r="CN5" s="124" t="str">
        <f>IFERROR(VLOOKUP(CN4,教师安排!$A:$Y,CN$2+1,FALSE),"")</f>
        <v/>
      </c>
      <c r="CO5" s="124" t="str">
        <f>IFERROR(VLOOKUP(CO4,教师安排!$A:$Y,CO$2+1,FALSE),"")</f>
        <v/>
      </c>
      <c r="CP5" s="124" t="str">
        <f>IFERROR(VLOOKUP(CP4,教师安排!$A:$Y,CP$2+1,FALSE),"")</f>
        <v/>
      </c>
      <c r="CQ5" s="124"/>
      <c r="CR5" s="124" t="str">
        <f>IFERROR(VLOOKUP(CR4,教师安排!$A:$Y,CR$2+1,FALSE),"")</f>
        <v/>
      </c>
      <c r="CS5" s="124" t="str">
        <f>IFERROR(VLOOKUP(CS4,教师安排!$A:$Y,CS$2+1,FALSE),"")</f>
        <v/>
      </c>
      <c r="CT5" s="124" t="str">
        <f>IFERROR(VLOOKUP(CT4,教师安排!$A:$Y,CT$2+1,FALSE),"")</f>
        <v/>
      </c>
      <c r="CU5" s="123">
        <f>IFERROR(VLOOKUP(CU4,教师安排!$A:$Y,CU$2+1,FALSE),"")</f>
        <v>0</v>
      </c>
      <c r="CV5" s="123">
        <f>IFERROR(VLOOKUP(CV4,教师安排!$A:$Y,CV$2+1,FALSE),"")</f>
        <v>0</v>
      </c>
      <c r="CW5" s="123">
        <f>IFERROR(VLOOKUP(CW4,教师安排!$A:$Y,CW$2+1,FALSE),"")</f>
        <v>0</v>
      </c>
      <c r="CX5" s="123">
        <f>IFERROR(VLOOKUP(CX4,教师安排!$A:$Y,CX$2+1,FALSE),"")</f>
        <v>0</v>
      </c>
      <c r="CY5" s="123">
        <f>IFERROR(VLOOKUP(CY4,教师安排!$A:$Y,CY$2+1,FALSE),"")</f>
        <v>0</v>
      </c>
      <c r="CZ5" s="123">
        <f>IFERROR(VLOOKUP(CZ4,教师安排!$A:$Y,CZ$2+1,FALSE),"")</f>
        <v>0</v>
      </c>
      <c r="DA5" s="123">
        <f>IFERROR(VLOOKUP(DA4,教师安排!$A:$Y,DA$2+1,FALSE),"")</f>
        <v>0</v>
      </c>
      <c r="DB5" s="123">
        <f>IFERROR(VLOOKUP(DB4,教师安排!$A:$Y,DB$2+1,FALSE),"")</f>
        <v>0</v>
      </c>
      <c r="DC5" s="123">
        <f>IFERROR(VLOOKUP(DC4,教师安排!$A:$Y,DC$2+1,FALSE),"")</f>
        <v>0</v>
      </c>
      <c r="DD5" s="123">
        <f>IFERROR(VLOOKUP(DD4,教师安排!$A:$Y,DD$2+1,FALSE),"")</f>
        <v>0</v>
      </c>
      <c r="DE5" s="123">
        <f>IFERROR(VLOOKUP(DE4,教师安排!$A:$Y,DE$2+1,FALSE),"")</f>
        <v>0</v>
      </c>
      <c r="DF5" s="123">
        <f>IFERROR(VLOOKUP(DF4,教师安排!$A:$Y,DF$2+1,FALSE),"")</f>
        <v>0</v>
      </c>
      <c r="DG5" s="123">
        <f>IFERROR(VLOOKUP(DG4,教师安排!$A:$Y,DG$2+1,FALSE),"")</f>
        <v>0</v>
      </c>
      <c r="DH5" s="123">
        <f>IFERROR(VLOOKUP(DH4,教师安排!$A:$Y,DH$2+1,FALSE),"")</f>
        <v>0</v>
      </c>
      <c r="DI5" s="123">
        <f>IFERROR(VLOOKUP(DI4,教师安排!$A:$Y,DI$2+1,FALSE),"")</f>
        <v>0</v>
      </c>
      <c r="DJ5" s="123" t="str">
        <f>IFERROR(VLOOKUP(DJ4,教师安排!$A:$Y,DJ$2+1,FALSE),"")</f>
        <v/>
      </c>
      <c r="DK5" s="123" t="str">
        <f>IFERROR(VLOOKUP(DK4,教师安排!$A:$Y,DK$2+1,FALSE),"")</f>
        <v/>
      </c>
      <c r="DL5" s="123" t="str">
        <f>IFERROR(VLOOKUP(DL4,教师安排!$A:$Y,DL$2+1,FALSE),"")</f>
        <v/>
      </c>
      <c r="DM5" s="123" t="str">
        <f>IFERROR(VLOOKUP(DM4,教师安排!$A:$Y,DM$2+1,FALSE),"")</f>
        <v/>
      </c>
      <c r="DN5" s="123"/>
      <c r="DO5" s="123" t="str">
        <f>IFERROR(VLOOKUP(DO4,教师安排!$A:$Y,DO$2+1,FALSE),"")</f>
        <v/>
      </c>
      <c r="DP5" s="123" t="str">
        <f>IFERROR(VLOOKUP(DP4,教师安排!$A:$Y,DP$2+1,FALSE),"")</f>
        <v/>
      </c>
      <c r="DQ5" s="123" t="str">
        <f>IFERROR(VLOOKUP(DQ4,教师安排!$A:$Y,DQ$2+1,FALSE),"")</f>
        <v/>
      </c>
      <c r="DR5" s="123" t="str">
        <f>IFERROR(VLOOKUP(DR4,教师安排!$A:$Y,DR$2+1,FALSE),"")</f>
        <v/>
      </c>
      <c r="DS5" s="124">
        <f>IFERROR(VLOOKUP(DS4,教师安排!$A:$Y,DS$2+1,FALSE),"")</f>
        <v>0</v>
      </c>
      <c r="DT5" s="124">
        <f>IFERROR(VLOOKUP(DT4,教师安排!$A:$Y,DT$2+1,FALSE),"")</f>
        <v>0</v>
      </c>
      <c r="DU5" s="124">
        <f>IFERROR(VLOOKUP(DU4,教师安排!$A:$Y,DU$2+1,FALSE),"")</f>
        <v>0</v>
      </c>
      <c r="DV5" s="124">
        <f>IFERROR(VLOOKUP(DV4,教师安排!$A:$Y,DV$2+1,FALSE),"")</f>
        <v>0</v>
      </c>
      <c r="DW5" s="124">
        <f>IFERROR(VLOOKUP(DW4,教师安排!$A:$Y,DW$2+1,FALSE),"")</f>
        <v>0</v>
      </c>
      <c r="DX5" s="124">
        <f>IFERROR(VLOOKUP(DX4,教师安排!$A:$Y,DX$2+1,FALSE),"")</f>
        <v>0</v>
      </c>
      <c r="DY5" s="124">
        <f>IFERROR(VLOOKUP(DY4,教师安排!$A:$Y,DY$2+1,FALSE),"")</f>
        <v>0</v>
      </c>
      <c r="DZ5" s="124">
        <f>IFERROR(VLOOKUP(DZ4,教师安排!$A:$Y,DZ$2+1,FALSE),"")</f>
        <v>0</v>
      </c>
      <c r="EA5" s="124">
        <f>IFERROR(VLOOKUP(EA4,教师安排!$A:$Y,EA$2+1,FALSE),"")</f>
        <v>0</v>
      </c>
      <c r="EB5" s="124">
        <f>IFERROR(VLOOKUP(EB4,教师安排!$A:$Y,EB$2+1,FALSE),"")</f>
        <v>0</v>
      </c>
      <c r="EC5" s="124">
        <f>IFERROR(VLOOKUP(EC4,教师安排!$A:$Y,EC$2+1,FALSE),"")</f>
        <v>0</v>
      </c>
      <c r="ED5" s="124">
        <f>IFERROR(VLOOKUP(ED4,教师安排!$A:$Y,ED$2+1,FALSE),"")</f>
        <v>0</v>
      </c>
      <c r="EE5" s="124">
        <f>IFERROR(VLOOKUP(EE4,教师安排!$A:$Y,EE$2+1,FALSE),"")</f>
        <v>0</v>
      </c>
      <c r="EF5" s="124">
        <f>IFERROR(VLOOKUP(EF4,教师安排!$A:$Y,EF$2+1,FALSE),"")</f>
        <v>0</v>
      </c>
      <c r="EG5" s="124">
        <f>IFERROR(VLOOKUP(EG4,教师安排!$A:$Y,EG$2+1,FALSE),"")</f>
        <v>0</v>
      </c>
      <c r="EH5" s="124" t="str">
        <f>IFERROR(VLOOKUP(EH4,教师安排!$A:$Y,EH$2+1,FALSE),"")</f>
        <v/>
      </c>
      <c r="EI5" s="124" t="str">
        <f>IFERROR(VLOOKUP(EI4,教师安排!$A:$Y,EI$2+1,FALSE),"")</f>
        <v/>
      </c>
      <c r="EJ5" s="124" t="str">
        <f>IFERROR(VLOOKUP(EJ4,教师安排!$A:$Y,EJ$2+1,FALSE),"")</f>
        <v/>
      </c>
      <c r="EK5" s="124" t="str">
        <f>IFERROR(VLOOKUP(EK4,教师安排!$A:$Y,EK$2+1,FALSE),"")</f>
        <v/>
      </c>
      <c r="EL5" s="124"/>
      <c r="EM5" s="124" t="str">
        <f>IFERROR(VLOOKUP(EM4,教师安排!$A:$Y,EM$2+1,FALSE),"")</f>
        <v/>
      </c>
      <c r="EN5" s="124" t="str">
        <f>IFERROR(VLOOKUP(EN4,教师安排!$A:$Y,EN$2+1,FALSE),"")</f>
        <v/>
      </c>
      <c r="EO5" s="124" t="str">
        <f>IFERROR(VLOOKUP(EO4,教师安排!$A:$Y,EO$2+1,FALSE),"")</f>
        <v/>
      </c>
      <c r="EP5" s="124" t="str">
        <f>IFERROR(VLOOKUP(EP4,教师安排!$A:$Y,EP$2+1,FALSE),"")</f>
        <v/>
      </c>
      <c r="EQ5" s="123">
        <f>IFERROR(VLOOKUP(EQ4,教师安排!$A:$Y,EQ$2+1,FALSE),"")</f>
        <v>0</v>
      </c>
      <c r="ER5" s="123">
        <f>IFERROR(VLOOKUP(ER4,教师安排!$A:$Y,ER$2+1,FALSE),"")</f>
        <v>0</v>
      </c>
      <c r="ES5" s="123">
        <f>IFERROR(VLOOKUP(ES4,教师安排!$A:$Y,ES$2+1,FALSE),"")</f>
        <v>0</v>
      </c>
      <c r="ET5" s="123">
        <f>IFERROR(VLOOKUP(ET4,教师安排!$A:$Y,ET$2+1,FALSE),"")</f>
        <v>0</v>
      </c>
      <c r="EU5" s="123">
        <f>IFERROR(VLOOKUP(EU4,教师安排!$A:$Y,EU$2+1,FALSE),"")</f>
        <v>0</v>
      </c>
      <c r="EV5" s="123">
        <f>IFERROR(VLOOKUP(EV4,教师安排!$A:$Y,EV$2+1,FALSE),"")</f>
        <v>0</v>
      </c>
      <c r="EW5" s="123">
        <f>IFERROR(VLOOKUP(EW4,教师安排!$A:$Y,EW$2+1,FALSE),"")</f>
        <v>0</v>
      </c>
      <c r="EX5" s="123">
        <f>IFERROR(VLOOKUP(EX4,教师安排!$A:$Y,EX$2+1,FALSE),"")</f>
        <v>0</v>
      </c>
      <c r="EY5" s="123">
        <f>IFERROR(VLOOKUP(EY4,教师安排!$A:$Y,EY$2+1,FALSE),"")</f>
        <v>0</v>
      </c>
      <c r="EZ5" s="123">
        <f>IFERROR(VLOOKUP(EZ4,教师安排!$A:$Y,EZ$2+1,FALSE),"")</f>
        <v>0</v>
      </c>
      <c r="FA5" s="123">
        <f>IFERROR(VLOOKUP(FA4,教师安排!$A:$Y,FA$2+1,FALSE),"")</f>
        <v>0</v>
      </c>
      <c r="FB5" s="123">
        <f>IFERROR(VLOOKUP(FB4,教师安排!$A:$Y,FB$2+1,FALSE),"")</f>
        <v>0</v>
      </c>
      <c r="FC5" s="123">
        <f>IFERROR(VLOOKUP(FC4,教师安排!$A:$Y,FC$2+1,FALSE),"")</f>
        <v>0</v>
      </c>
      <c r="FD5" s="123">
        <f>IFERROR(VLOOKUP(FD4,教师安排!$A:$Y,FD$2+1,FALSE),"")</f>
        <v>0</v>
      </c>
      <c r="FE5" s="123">
        <f>IFERROR(VLOOKUP(FE4,教师安排!$A:$Y,FE$2+1,FALSE),"")</f>
        <v>0</v>
      </c>
      <c r="FF5" s="123" t="str">
        <f>IFERROR(VLOOKUP(FF4,教师安排!$A:$Y,FF$2+1,FALSE),"")</f>
        <v/>
      </c>
      <c r="FG5" s="123" t="str">
        <f>IFERROR(VLOOKUP(FG4,教师安排!$A:$Y,FG$2+1,FALSE),"")</f>
        <v/>
      </c>
      <c r="FH5" s="123" t="str">
        <f>IFERROR(VLOOKUP(FH4,教师安排!$A:$Y,FH$2+1,FALSE),"")</f>
        <v/>
      </c>
      <c r="FI5" s="123" t="str">
        <f>IFERROR(VLOOKUP(FI4,教师安排!$A:$Y,FI$2+1,FALSE),"")</f>
        <v/>
      </c>
      <c r="FJ5" s="123"/>
      <c r="FK5" s="123" t="str">
        <f>IFERROR(VLOOKUP(FK4,教师安排!$A:$Y,FK$2+1,FALSE),"")</f>
        <v/>
      </c>
      <c r="FL5" s="123" t="str">
        <f>IFERROR(VLOOKUP(FL4,教师安排!$A:$Y,FL$2+1,FALSE),"")</f>
        <v/>
      </c>
      <c r="FM5" s="123" t="str">
        <f>IFERROR(VLOOKUP(FM4,教师安排!$A:$Y,FM$2+1,FALSE),"")</f>
        <v/>
      </c>
      <c r="FN5" s="123" t="str">
        <f>IFERROR(VLOOKUP(FN4,教师安排!$A:$Y,FN$2+1,FALSE),"")</f>
        <v/>
      </c>
      <c r="FO5" s="124">
        <f>IFERROR(VLOOKUP(FO4,教师安排!$A:$Y,FO$2+1,FALSE),"")</f>
        <v>0</v>
      </c>
      <c r="FP5" s="124">
        <f>IFERROR(VLOOKUP(FP4,教师安排!$A:$Y,FP$2+1,FALSE),"")</f>
        <v>0</v>
      </c>
      <c r="FQ5" s="124">
        <f>IFERROR(VLOOKUP(FQ4,教师安排!$A:$Y,FQ$2+1,FALSE),"")</f>
        <v>0</v>
      </c>
      <c r="FR5" s="124">
        <f>IFERROR(VLOOKUP(FR4,教师安排!$A:$Y,FR$2+1,FALSE),"")</f>
        <v>0</v>
      </c>
      <c r="FS5" s="124">
        <f>IFERROR(VLOOKUP(FS4,教师安排!$A:$Y,FS$2+1,FALSE),"")</f>
        <v>0</v>
      </c>
      <c r="FT5" s="124">
        <f>IFERROR(VLOOKUP(FT4,教师安排!$A:$Y,FT$2+1,FALSE),"")</f>
        <v>0</v>
      </c>
      <c r="FU5" s="124">
        <f>IFERROR(VLOOKUP(FU4,教师安排!$A:$Y,FU$2+1,FALSE),"")</f>
        <v>0</v>
      </c>
      <c r="FV5" s="124">
        <f>IFERROR(VLOOKUP(FV4,教师安排!$A:$Y,FV$2+1,FALSE),"")</f>
        <v>0</v>
      </c>
      <c r="FW5" s="124">
        <f>IFERROR(VLOOKUP(FW4,教师安排!$A:$Y,FW$2+1,FALSE),"")</f>
        <v>0</v>
      </c>
      <c r="FX5" s="124">
        <f>IFERROR(VLOOKUP(FX4,教师安排!$A:$Y,FX$2+1,FALSE),"")</f>
        <v>0</v>
      </c>
      <c r="FY5" s="124">
        <f>IFERROR(VLOOKUP(FY4,教师安排!$A:$Y,FY$2+1,FALSE),"")</f>
        <v>0</v>
      </c>
      <c r="FZ5" s="124">
        <f>IFERROR(VLOOKUP(FZ4,教师安排!$A:$Y,FZ$2+1,FALSE),"")</f>
        <v>0</v>
      </c>
      <c r="GA5" s="124">
        <f>IFERROR(VLOOKUP(GA4,教师安排!$A:$Y,GA$2+1,FALSE),"")</f>
        <v>0</v>
      </c>
      <c r="GB5" s="124">
        <f>IFERROR(VLOOKUP(GB4,教师安排!$A:$Y,GB$2+1,FALSE),"")</f>
        <v>0</v>
      </c>
      <c r="GC5" s="124">
        <f>IFERROR(VLOOKUP(GC4,教师安排!$A:$Y,GC$2+1,FALSE),"")</f>
        <v>0</v>
      </c>
      <c r="GD5" s="124" t="str">
        <f>IFERROR(VLOOKUP(GD4,教师安排!$A:$Y,GD$2+1,FALSE),"")</f>
        <v/>
      </c>
      <c r="GE5" s="124" t="str">
        <f>IFERROR(VLOOKUP(GE4,教师安排!$A:$Y,GE$2+1,FALSE),"")</f>
        <v/>
      </c>
      <c r="GF5" s="124" t="str">
        <f>IFERROR(VLOOKUP(GF4,教师安排!$A:$Y,GF$2+1,FALSE),"")</f>
        <v/>
      </c>
      <c r="GG5" s="124" t="str">
        <f>IFERROR(VLOOKUP(GG4,教师安排!$A:$Y,GG$2+1,FALSE),"")</f>
        <v/>
      </c>
      <c r="GH5" s="124"/>
      <c r="GI5" s="124" t="str">
        <f>IFERROR(VLOOKUP(GI4,教师安排!$A:$Y,GI$2+1,FALSE),"")</f>
        <v/>
      </c>
      <c r="GJ5" s="124" t="str">
        <f>IFERROR(VLOOKUP(GJ4,教师安排!$A:$Y,GJ$2+1,FALSE),"")</f>
        <v/>
      </c>
      <c r="GK5" s="124" t="str">
        <f>IFERROR(VLOOKUP(GK4,教师安排!$A:$Y,GK$2+1,FALSE),"")</f>
        <v/>
      </c>
      <c r="GL5" s="124" t="str">
        <f>IFERROR(VLOOKUP(GL4,教师安排!$A:$Y,GL$2+1,FALSE),"")</f>
        <v/>
      </c>
      <c r="GM5" s="123">
        <f>IFERROR(VLOOKUP(GM4,教师安排!$A:$Y,GM$2+1,FALSE),"")</f>
        <v>0</v>
      </c>
      <c r="GN5" s="123">
        <f>IFERROR(VLOOKUP(GN4,教师安排!$A:$Y,GN$2+1,FALSE),"")</f>
        <v>0</v>
      </c>
      <c r="GO5" s="123">
        <f>IFERROR(VLOOKUP(GO4,教师安排!$A:$Y,GO$2+1,FALSE),"")</f>
        <v>0</v>
      </c>
      <c r="GP5" s="123">
        <f>IFERROR(VLOOKUP(GP4,教师安排!$A:$Y,GP$2+1,FALSE),"")</f>
        <v>0</v>
      </c>
      <c r="GQ5" s="123">
        <f>IFERROR(VLOOKUP(GQ4,教师安排!$A:$Y,GQ$2+1,FALSE),"")</f>
        <v>0</v>
      </c>
      <c r="GR5" s="123">
        <f>IFERROR(VLOOKUP(GR4,教师安排!$A:$Y,GR$2+1,FALSE),"")</f>
        <v>0</v>
      </c>
      <c r="GS5" s="123">
        <f>IFERROR(VLOOKUP(GS4,教师安排!$A:$Y,GS$2+1,FALSE),"")</f>
        <v>0</v>
      </c>
      <c r="GT5" s="123">
        <f>IFERROR(VLOOKUP(GT4,教师安排!$A:$Y,GT$2+1,FALSE),"")</f>
        <v>0</v>
      </c>
      <c r="GU5" s="123">
        <f>IFERROR(VLOOKUP(GU4,教师安排!$A:$Y,GU$2+1,FALSE),"")</f>
        <v>0</v>
      </c>
      <c r="GV5" s="123">
        <f>IFERROR(VLOOKUP(GV4,教师安排!$A:$Y,GV$2+1,FALSE),"")</f>
        <v>0</v>
      </c>
      <c r="GW5" s="123">
        <f>IFERROR(VLOOKUP(GW4,教师安排!$A:$Y,GW$2+1,FALSE),"")</f>
        <v>0</v>
      </c>
      <c r="GX5" s="123">
        <f>IFERROR(VLOOKUP(GX4,教师安排!$A:$Y,GX$2+1,FALSE),"")</f>
        <v>0</v>
      </c>
      <c r="GY5" s="123">
        <f>IFERROR(VLOOKUP(GY4,教师安排!$A:$Y,GY$2+1,FALSE),"")</f>
        <v>0</v>
      </c>
      <c r="GZ5" s="123">
        <f>IFERROR(VLOOKUP(GZ4,教师安排!$A:$Y,GZ$2+1,FALSE),"")</f>
        <v>0</v>
      </c>
      <c r="HA5" s="123">
        <f>IFERROR(VLOOKUP(HA4,教师安排!$A:$Y,HA$2+1,FALSE),"")</f>
        <v>0</v>
      </c>
      <c r="HB5" s="123" t="str">
        <f>IFERROR(VLOOKUP(HB4,教师安排!$A:$Y,HB$2+1,FALSE),"")</f>
        <v/>
      </c>
      <c r="HC5" s="123" t="str">
        <f>IFERROR(VLOOKUP(HC4,教师安排!$A:$Y,HC$2+1,FALSE),"")</f>
        <v/>
      </c>
      <c r="HD5" s="123" t="str">
        <f>IFERROR(VLOOKUP(HD4,教师安排!$A:$Y,HD$2+1,FALSE),"")</f>
        <v/>
      </c>
      <c r="HE5" s="123" t="str">
        <f>IFERROR(VLOOKUP(HE4,教师安排!$A:$Y,HE$2+1,FALSE),"")</f>
        <v/>
      </c>
      <c r="HF5" s="123"/>
      <c r="HG5" s="123" t="str">
        <f>IFERROR(VLOOKUP(HG4,教师安排!$A:$Y,HG$2+1,FALSE),"")</f>
        <v/>
      </c>
      <c r="HH5" s="123" t="str">
        <f>IFERROR(VLOOKUP(HH4,教师安排!$A:$Y,HH$2+1,FALSE),"")</f>
        <v/>
      </c>
      <c r="HI5" s="123" t="str">
        <f>IFERROR(VLOOKUP(HI4,教师安排!$A:$Y,HI$2+1,FALSE),"")</f>
        <v/>
      </c>
      <c r="HJ5" s="123" t="str">
        <f>IFERROR(VLOOKUP(HJ4,教师安排!$A:$Y,HJ$2+1,FALSE),"")</f>
        <v/>
      </c>
      <c r="HK5" s="124">
        <f>IFERROR(VLOOKUP(HK4,教师安排!$A:$Y,HK$2+1,FALSE),"")</f>
        <v>0</v>
      </c>
      <c r="HL5" s="124">
        <f>IFERROR(VLOOKUP(HL4,教师安排!$A:$Y,HL$2+1,FALSE),"")</f>
        <v>0</v>
      </c>
      <c r="HM5" s="124">
        <f>IFERROR(VLOOKUP(HM4,教师安排!$A:$Y,HM$2+1,FALSE),"")</f>
        <v>0</v>
      </c>
      <c r="HN5" s="124">
        <f>IFERROR(VLOOKUP(HN4,教师安排!$A:$Y,HN$2+1,FALSE),"")</f>
        <v>0</v>
      </c>
      <c r="HO5" s="124">
        <f>IFERROR(VLOOKUP(HO4,教师安排!$A:$Y,HO$2+1,FALSE),"")</f>
        <v>0</v>
      </c>
      <c r="HP5" s="124">
        <f>IFERROR(VLOOKUP(HP4,教师安排!$A:$Y,HP$2+1,FALSE),"")</f>
        <v>0</v>
      </c>
      <c r="HQ5" s="124">
        <f>IFERROR(VLOOKUP(HQ4,教师安排!$A:$Y,HQ$2+1,FALSE),"")</f>
        <v>0</v>
      </c>
      <c r="HR5" s="124">
        <f>IFERROR(VLOOKUP(HR4,教师安排!$A:$Y,HR$2+1,FALSE),"")</f>
        <v>0</v>
      </c>
      <c r="HS5" s="124">
        <f>IFERROR(VLOOKUP(HS4,教师安排!$A:$Y,HS$2+1,FALSE),"")</f>
        <v>0</v>
      </c>
      <c r="HT5" s="124">
        <f>IFERROR(VLOOKUP(HT4,教师安排!$A:$Y,HT$2+1,FALSE),"")</f>
        <v>0</v>
      </c>
      <c r="HU5" s="124">
        <f>IFERROR(VLOOKUP(HU4,教师安排!$A:$Y,HU$2+1,FALSE),"")</f>
        <v>0</v>
      </c>
      <c r="HV5" s="124">
        <f>IFERROR(VLOOKUP(HV4,教师安排!$A:$Y,HV$2+1,FALSE),"")</f>
        <v>0</v>
      </c>
      <c r="HW5" s="124">
        <f>IFERROR(VLOOKUP(HW4,教师安排!$A:$Y,HW$2+1,FALSE),"")</f>
        <v>0</v>
      </c>
      <c r="HX5" s="124">
        <f>IFERROR(VLOOKUP(HX4,教师安排!$A:$Y,HX$2+1,FALSE),"")</f>
        <v>0</v>
      </c>
      <c r="HY5" s="124">
        <f>IFERROR(VLOOKUP(HY4,教师安排!$A:$Y,HY$2+1,FALSE),"")</f>
        <v>0</v>
      </c>
      <c r="HZ5" s="124" t="str">
        <f>IFERROR(VLOOKUP(HZ4,教师安排!$A:$Y,HZ$2+1,FALSE),"")</f>
        <v/>
      </c>
      <c r="IA5" s="124" t="str">
        <f>IFERROR(VLOOKUP(IA4,教师安排!$A:$Y,IA$2+1,FALSE),"")</f>
        <v/>
      </c>
      <c r="IB5" s="124" t="str">
        <f>IFERROR(VLOOKUP(IB4,教师安排!$A:$Y,IB$2+1,FALSE),"")</f>
        <v/>
      </c>
      <c r="IC5" s="124" t="str">
        <f>IFERROR(VLOOKUP(IC4,教师安排!$A:$Y,IC$2+1,FALSE),"")</f>
        <v/>
      </c>
      <c r="ID5" s="124"/>
      <c r="IE5" s="124" t="str">
        <f>IFERROR(VLOOKUP(IE4,教师安排!$A:$Y,IE$2+1,FALSE),"")</f>
        <v/>
      </c>
      <c r="IF5" s="124" t="str">
        <f>IFERROR(VLOOKUP(IF4,教师安排!$A:$Y,IF$2+1,FALSE),"")</f>
        <v/>
      </c>
      <c r="IG5" s="124" t="str">
        <f>IFERROR(VLOOKUP(IG4,教师安排!$A:$Y,IG$2+1,FALSE),"")</f>
        <v/>
      </c>
      <c r="IH5" s="124" t="str">
        <f>IFERROR(VLOOKUP(IH4,教师安排!$A:$Y,IH$2+1,FALSE),"")</f>
        <v/>
      </c>
      <c r="II5" s="123">
        <f>IFERROR(VLOOKUP(II4,教师安排!$A:$Y,II$2+1,FALSE),"")</f>
        <v>0</v>
      </c>
      <c r="IJ5" s="123">
        <f>IFERROR(VLOOKUP(IJ4,教师安排!$A:$Y,IJ$2+1,FALSE),"")</f>
        <v>0</v>
      </c>
      <c r="IK5" s="123">
        <f>IFERROR(VLOOKUP(IK4,教师安排!$A:$Y,IK$2+1,FALSE),"")</f>
        <v>0</v>
      </c>
      <c r="IL5" s="123">
        <f>IFERROR(VLOOKUP(IL4,教师安排!$A:$Y,IL$2+1,FALSE),"")</f>
        <v>0</v>
      </c>
      <c r="IM5" s="123">
        <f>IFERROR(VLOOKUP(IM4,教师安排!$A:$Y,IM$2+1,FALSE),"")</f>
        <v>0</v>
      </c>
      <c r="IN5" s="123">
        <f>IFERROR(VLOOKUP(IN4,教师安排!$A:$Y,IN$2+1,FALSE),"")</f>
        <v>0</v>
      </c>
      <c r="IO5" s="123">
        <f>IFERROR(VLOOKUP(IO4,教师安排!$A:$Y,IO$2+1,FALSE),"")</f>
        <v>0</v>
      </c>
      <c r="IP5" s="123">
        <f>IFERROR(VLOOKUP(IP4,教师安排!$A:$Y,IP$2+1,FALSE),"")</f>
        <v>0</v>
      </c>
      <c r="IQ5" s="123">
        <f>IFERROR(VLOOKUP(IQ4,教师安排!$A:$Y,IQ$2+1,FALSE),"")</f>
        <v>0</v>
      </c>
      <c r="IR5" s="123">
        <f>IFERROR(VLOOKUP(IR4,教师安排!$A:$Y,IR$2+1,FALSE),"")</f>
        <v>0</v>
      </c>
      <c r="IS5" s="123">
        <f>IFERROR(VLOOKUP(IS4,教师安排!$A:$Y,IS$2+1,FALSE),"")</f>
        <v>0</v>
      </c>
      <c r="IT5" s="123">
        <f>IFERROR(VLOOKUP(IT4,教师安排!$A:$Y,IT$2+1,FALSE),"")</f>
        <v>0</v>
      </c>
      <c r="IU5" s="123">
        <f>IFERROR(VLOOKUP(IU4,教师安排!$A:$Y,IU$2+1,FALSE),"")</f>
        <v>0</v>
      </c>
      <c r="IV5" s="123">
        <f>IFERROR(VLOOKUP(IV4,教师安排!$A:$Y,IV$2+1,FALSE),"")</f>
        <v>0</v>
      </c>
      <c r="IW5" s="123">
        <f>IFERROR(VLOOKUP(IW4,教师安排!$A:$Y,IW$2+1,FALSE),"")</f>
        <v>0</v>
      </c>
      <c r="IX5" s="123" t="str">
        <f>IFERROR(VLOOKUP(IX4,教师安排!$A:$Y,IX$2+1,FALSE),"")</f>
        <v/>
      </c>
      <c r="IY5" s="123" t="str">
        <f>IFERROR(VLOOKUP(IY4,教师安排!$A:$Y,IY$2+1,FALSE),"")</f>
        <v/>
      </c>
      <c r="IZ5" s="123" t="str">
        <f>IFERROR(VLOOKUP(IZ4,教师安排!$A:$Y,IZ$2+1,FALSE),"")</f>
        <v/>
      </c>
      <c r="JA5" s="123" t="str">
        <f>IFERROR(VLOOKUP(JA4,教师安排!$A:$Y,JA$2+1,FALSE),"")</f>
        <v/>
      </c>
      <c r="JB5" s="123"/>
      <c r="JC5" s="123" t="str">
        <f>IFERROR(VLOOKUP(JC4,教师安排!$A:$Y,JC$2+1,FALSE),"")</f>
        <v/>
      </c>
      <c r="JD5" s="123" t="str">
        <f>IFERROR(VLOOKUP(JD4,教师安排!$A:$Y,JD$2+1,FALSE),"")</f>
        <v/>
      </c>
      <c r="JE5" s="123" t="str">
        <f>IFERROR(VLOOKUP(JE4,教师安排!$A:$Y,JE$2+1,FALSE),"")</f>
        <v/>
      </c>
      <c r="JF5" s="123" t="str">
        <f>IFERROR(VLOOKUP(JF4,教师安排!$A:$Y,JF$2+1,FALSE),"")</f>
        <v/>
      </c>
      <c r="JG5" s="124">
        <f>IFERROR(VLOOKUP(JG4,教师安排!$A:$Y,JG$2+1,FALSE),"")</f>
        <v>0</v>
      </c>
      <c r="JH5" s="124">
        <f>IFERROR(VLOOKUP(JH4,教师安排!$A:$Y,JH$2+1,FALSE),"")</f>
        <v>0</v>
      </c>
      <c r="JI5" s="124">
        <f>IFERROR(VLOOKUP(JI4,教师安排!$A:$Y,JI$2+1,FALSE),"")</f>
        <v>0</v>
      </c>
      <c r="JJ5" s="124">
        <f>IFERROR(VLOOKUP(JJ4,教师安排!$A:$Y,JJ$2+1,FALSE),"")</f>
        <v>0</v>
      </c>
      <c r="JK5" s="124">
        <f>IFERROR(VLOOKUP(JK4,教师安排!$A:$Y,JK$2+1,FALSE),"")</f>
        <v>0</v>
      </c>
      <c r="JL5" s="124">
        <f>IFERROR(VLOOKUP(JL4,教师安排!$A:$Y,JL$2+1,FALSE),"")</f>
        <v>0</v>
      </c>
      <c r="JM5" s="124">
        <f>IFERROR(VLOOKUP(JM4,教师安排!$A:$Y,JM$2+1,FALSE),"")</f>
        <v>0</v>
      </c>
      <c r="JN5" s="124">
        <f>IFERROR(VLOOKUP(JN4,教师安排!$A:$Y,JN$2+1,FALSE),"")</f>
        <v>0</v>
      </c>
      <c r="JO5" s="124">
        <f>IFERROR(VLOOKUP(JO4,教师安排!$A:$Y,JO$2+1,FALSE),"")</f>
        <v>0</v>
      </c>
      <c r="JP5" s="124">
        <f>IFERROR(VLOOKUP(JP4,教师安排!$A:$Y,JP$2+1,FALSE),"")</f>
        <v>0</v>
      </c>
      <c r="JQ5" s="124">
        <f>IFERROR(VLOOKUP(JQ4,教师安排!$A:$Y,JQ$2+1,FALSE),"")</f>
        <v>0</v>
      </c>
      <c r="JR5" s="124">
        <f>IFERROR(VLOOKUP(JR4,教师安排!$A:$Y,JR$2+1,FALSE),"")</f>
        <v>0</v>
      </c>
      <c r="JS5" s="124">
        <f>IFERROR(VLOOKUP(JS4,教师安排!$A:$Y,JS$2+1,FALSE),"")</f>
        <v>0</v>
      </c>
      <c r="JT5" s="124">
        <f>IFERROR(VLOOKUP(JT4,教师安排!$A:$Y,JT$2+1,FALSE),"")</f>
        <v>0</v>
      </c>
      <c r="JU5" s="124">
        <f>IFERROR(VLOOKUP(JU4,教师安排!$A:$Y,JU$2+1,FALSE),"")</f>
        <v>0</v>
      </c>
      <c r="JV5" s="124" t="str">
        <f>IFERROR(VLOOKUP(JV4,教师安排!$A:$Y,JV$2+1,FALSE),"")</f>
        <v/>
      </c>
      <c r="JW5" s="124" t="str">
        <f>IFERROR(VLOOKUP(JW4,教师安排!$A:$Y,JW$2+1,FALSE),"")</f>
        <v/>
      </c>
      <c r="JX5" s="124" t="str">
        <f>IFERROR(VLOOKUP(JX4,教师安排!$A:$Y,JX$2+1,FALSE),"")</f>
        <v/>
      </c>
      <c r="JY5" s="124" t="str">
        <f>IFERROR(VLOOKUP(JY4,教师安排!$A:$Y,JY$2+1,FALSE),"")</f>
        <v/>
      </c>
      <c r="JZ5" s="124"/>
      <c r="KA5" s="124" t="str">
        <f>IFERROR(VLOOKUP(KA4,教师安排!$A:$Y,KA$2+1,FALSE),"")</f>
        <v/>
      </c>
      <c r="KB5" s="124" t="str">
        <f>IFERROR(VLOOKUP(KB4,教师安排!$A:$Y,KB$2+1,FALSE),"")</f>
        <v/>
      </c>
      <c r="KC5" s="124" t="str">
        <f>IFERROR(VLOOKUP(KC4,教师安排!$A:$Y,KC$2+1,FALSE),"")</f>
        <v/>
      </c>
      <c r="KD5" s="124" t="str">
        <f>IFERROR(VLOOKUP(KD4,教师安排!$A:$Y,KD$2+1,FALSE),"")</f>
        <v/>
      </c>
    </row>
    <row r="6" spans="1:290" s="115" customFormat="1" ht="17" customHeight="1" x14ac:dyDescent="0.3">
      <c r="A6" s="144"/>
      <c r="B6" s="147" t="s">
        <v>159</v>
      </c>
      <c r="C6" s="121" t="s">
        <v>26</v>
      </c>
      <c r="D6" s="121" t="s">
        <v>42</v>
      </c>
      <c r="E6" s="121" t="s">
        <v>42</v>
      </c>
      <c r="F6" s="121" t="s">
        <v>26</v>
      </c>
      <c r="G6" s="121" t="s">
        <v>26</v>
      </c>
      <c r="H6" s="121" t="s">
        <v>62</v>
      </c>
      <c r="I6" s="121" t="s">
        <v>42</v>
      </c>
      <c r="J6" s="121" t="s">
        <v>76</v>
      </c>
      <c r="K6" s="121" t="s">
        <v>42</v>
      </c>
      <c r="L6" s="121" t="s">
        <v>42</v>
      </c>
      <c r="M6" s="121" t="s">
        <v>71</v>
      </c>
      <c r="N6" s="121" t="s">
        <v>71</v>
      </c>
      <c r="O6" s="121" t="s">
        <v>71</v>
      </c>
      <c r="P6" s="121" t="s">
        <v>26</v>
      </c>
      <c r="Q6" s="121" t="s">
        <v>26</v>
      </c>
      <c r="R6" s="121"/>
      <c r="S6" s="121" t="s">
        <v>136</v>
      </c>
      <c r="T6" s="121"/>
      <c r="U6" s="121" t="s">
        <v>138</v>
      </c>
      <c r="V6" s="121"/>
      <c r="W6" s="121"/>
      <c r="X6" s="121"/>
      <c r="Y6" s="121"/>
      <c r="Z6" s="121"/>
      <c r="AA6" s="122" t="s">
        <v>42</v>
      </c>
      <c r="AB6" s="122" t="s">
        <v>26</v>
      </c>
      <c r="AC6" s="122" t="s">
        <v>71</v>
      </c>
      <c r="AD6" s="122" t="s">
        <v>42</v>
      </c>
      <c r="AE6" s="122" t="s">
        <v>62</v>
      </c>
      <c r="AF6" s="122" t="s">
        <v>62</v>
      </c>
      <c r="AG6" s="122" t="s">
        <v>76</v>
      </c>
      <c r="AH6" s="122" t="s">
        <v>26</v>
      </c>
      <c r="AI6" s="122" t="s">
        <v>66</v>
      </c>
      <c r="AJ6" s="122" t="s">
        <v>66</v>
      </c>
      <c r="AK6" s="122" t="s">
        <v>42</v>
      </c>
      <c r="AL6" s="122" t="s">
        <v>42</v>
      </c>
      <c r="AM6" s="122" t="s">
        <v>42</v>
      </c>
      <c r="AN6" s="122" t="s">
        <v>42</v>
      </c>
      <c r="AO6" s="122" t="s">
        <v>42</v>
      </c>
      <c r="AP6" s="122" t="s">
        <v>136</v>
      </c>
      <c r="AQ6" s="122"/>
      <c r="AR6" s="122" t="s">
        <v>138</v>
      </c>
      <c r="AS6" s="122"/>
      <c r="AT6" s="122" t="s">
        <v>138</v>
      </c>
      <c r="AU6" s="122" t="s">
        <v>138</v>
      </c>
      <c r="AV6" s="122" t="s">
        <v>136</v>
      </c>
      <c r="AW6" s="122" t="s">
        <v>136</v>
      </c>
      <c r="AX6" s="122" t="s">
        <v>136</v>
      </c>
      <c r="AY6" s="121" t="s">
        <v>62</v>
      </c>
      <c r="AZ6" s="121" t="s">
        <v>26</v>
      </c>
      <c r="BA6" s="121" t="s">
        <v>71</v>
      </c>
      <c r="BB6" s="121" t="s">
        <v>71</v>
      </c>
      <c r="BC6" s="121" t="s">
        <v>42</v>
      </c>
      <c r="BD6" s="121" t="s">
        <v>42</v>
      </c>
      <c r="BE6" s="121" t="s">
        <v>76</v>
      </c>
      <c r="BF6" s="121" t="s">
        <v>42</v>
      </c>
      <c r="BG6" s="121" t="s">
        <v>66</v>
      </c>
      <c r="BH6" s="121" t="s">
        <v>26</v>
      </c>
      <c r="BI6" s="121" t="s">
        <v>26</v>
      </c>
      <c r="BJ6" s="121" t="s">
        <v>26</v>
      </c>
      <c r="BK6" s="121" t="s">
        <v>71</v>
      </c>
      <c r="BL6" s="121" t="s">
        <v>26</v>
      </c>
      <c r="BM6" s="121" t="s">
        <v>71</v>
      </c>
      <c r="BN6" s="121"/>
      <c r="BO6" s="121"/>
      <c r="BP6" s="121"/>
      <c r="BQ6" s="121"/>
      <c r="BR6" s="121"/>
      <c r="BS6" s="121"/>
      <c r="BT6" s="121"/>
      <c r="BU6" s="121"/>
      <c r="BV6" s="121"/>
      <c r="BW6" s="122" t="s">
        <v>62</v>
      </c>
      <c r="BX6" s="122" t="s">
        <v>71</v>
      </c>
      <c r="BY6" s="122" t="s">
        <v>26</v>
      </c>
      <c r="BZ6" s="122" t="s">
        <v>26</v>
      </c>
      <c r="CA6" s="122" t="s">
        <v>62</v>
      </c>
      <c r="CB6" s="122" t="s">
        <v>26</v>
      </c>
      <c r="CC6" s="122" t="s">
        <v>26</v>
      </c>
      <c r="CD6" s="122" t="s">
        <v>76</v>
      </c>
      <c r="CE6" s="122" t="s">
        <v>26</v>
      </c>
      <c r="CF6" s="122" t="s">
        <v>42</v>
      </c>
      <c r="CG6" s="122" t="s">
        <v>71</v>
      </c>
      <c r="CH6" s="122" t="s">
        <v>71</v>
      </c>
      <c r="CI6" s="122" t="s">
        <v>26</v>
      </c>
      <c r="CJ6" s="122" t="s">
        <v>71</v>
      </c>
      <c r="CK6" s="122" t="s">
        <v>26</v>
      </c>
      <c r="CL6" s="122"/>
      <c r="CM6" s="122"/>
      <c r="CN6" s="122"/>
      <c r="CO6" s="122"/>
      <c r="CP6" s="122"/>
      <c r="CQ6" s="122"/>
      <c r="CR6" s="122"/>
      <c r="CS6" s="122"/>
      <c r="CT6" s="122"/>
      <c r="CU6" s="121" t="s">
        <v>42</v>
      </c>
      <c r="CV6" s="121" t="s">
        <v>71</v>
      </c>
      <c r="CW6" s="121" t="s">
        <v>26</v>
      </c>
      <c r="CX6" s="121" t="s">
        <v>42</v>
      </c>
      <c r="CY6" s="121" t="s">
        <v>26</v>
      </c>
      <c r="CZ6" s="121" t="s">
        <v>42</v>
      </c>
      <c r="DA6" s="121" t="s">
        <v>42</v>
      </c>
      <c r="DB6" s="121" t="s">
        <v>26</v>
      </c>
      <c r="DC6" s="121" t="s">
        <v>66</v>
      </c>
      <c r="DD6" s="121" t="s">
        <v>42</v>
      </c>
      <c r="DE6" s="121" t="s">
        <v>26</v>
      </c>
      <c r="DF6" s="121" t="s">
        <v>26</v>
      </c>
      <c r="DG6" s="121" t="s">
        <v>26</v>
      </c>
      <c r="DH6" s="121" t="s">
        <v>71</v>
      </c>
      <c r="DI6" s="121" t="s">
        <v>71</v>
      </c>
      <c r="DJ6" s="121" t="s">
        <v>136</v>
      </c>
      <c r="DK6" s="121"/>
      <c r="DL6" s="121" t="s">
        <v>138</v>
      </c>
      <c r="DM6" s="121"/>
      <c r="DN6" s="121"/>
      <c r="DO6" s="121"/>
      <c r="DP6" s="121"/>
      <c r="DQ6" s="121"/>
      <c r="DR6" s="121"/>
      <c r="DS6" s="122" t="s">
        <v>62</v>
      </c>
      <c r="DT6" s="122" t="s">
        <v>26</v>
      </c>
      <c r="DU6" s="122" t="s">
        <v>71</v>
      </c>
      <c r="DV6" s="122" t="s">
        <v>71</v>
      </c>
      <c r="DW6" s="122" t="s">
        <v>42</v>
      </c>
      <c r="DX6" s="122" t="s">
        <v>26</v>
      </c>
      <c r="DY6" s="122" t="s">
        <v>26</v>
      </c>
      <c r="DZ6" s="122" t="s">
        <v>42</v>
      </c>
      <c r="EA6" s="122" t="s">
        <v>26</v>
      </c>
      <c r="EB6" s="122" t="s">
        <v>26</v>
      </c>
      <c r="EC6" s="122" t="s">
        <v>42</v>
      </c>
      <c r="ED6" s="122" t="s">
        <v>42</v>
      </c>
      <c r="EE6" s="122" t="s">
        <v>42</v>
      </c>
      <c r="EF6" s="122" t="s">
        <v>42</v>
      </c>
      <c r="EG6" s="122" t="s">
        <v>42</v>
      </c>
      <c r="EH6" s="122"/>
      <c r="EI6" s="122"/>
      <c r="EJ6" s="122"/>
      <c r="EK6" s="122"/>
      <c r="EL6" s="122" t="s">
        <v>138</v>
      </c>
      <c r="EM6" s="122" t="s">
        <v>138</v>
      </c>
      <c r="EN6" s="122" t="s">
        <v>136</v>
      </c>
      <c r="EO6" s="122" t="s">
        <v>136</v>
      </c>
      <c r="EP6" s="122" t="s">
        <v>136</v>
      </c>
      <c r="EQ6" s="121" t="s">
        <v>26</v>
      </c>
      <c r="ER6" s="121" t="s">
        <v>42</v>
      </c>
      <c r="ES6" s="121" t="s">
        <v>42</v>
      </c>
      <c r="ET6" s="121" t="s">
        <v>26</v>
      </c>
      <c r="EU6" s="121" t="s">
        <v>62</v>
      </c>
      <c r="EV6" s="121" t="s">
        <v>62</v>
      </c>
      <c r="EW6" s="121" t="s">
        <v>76</v>
      </c>
      <c r="EX6" s="121" t="s">
        <v>76</v>
      </c>
      <c r="EY6" s="121" t="s">
        <v>42</v>
      </c>
      <c r="EZ6" s="121" t="s">
        <v>66</v>
      </c>
      <c r="FA6" s="121" t="s">
        <v>71</v>
      </c>
      <c r="FB6" s="121" t="s">
        <v>71</v>
      </c>
      <c r="FC6" s="121" t="s">
        <v>26</v>
      </c>
      <c r="FD6" s="121" t="s">
        <v>71</v>
      </c>
      <c r="FE6" s="121" t="s">
        <v>26</v>
      </c>
      <c r="FF6" s="121"/>
      <c r="FG6" s="121" t="s">
        <v>136</v>
      </c>
      <c r="FH6" s="121"/>
      <c r="FI6" s="121" t="s">
        <v>138</v>
      </c>
      <c r="FJ6" s="121"/>
      <c r="FK6" s="121"/>
      <c r="FL6" s="121"/>
      <c r="FM6" s="121"/>
      <c r="FN6" s="121"/>
      <c r="FO6" s="122" t="s">
        <v>42</v>
      </c>
      <c r="FP6" s="122" t="s">
        <v>71</v>
      </c>
      <c r="FQ6" s="122" t="s">
        <v>26</v>
      </c>
      <c r="FR6" s="122" t="s">
        <v>42</v>
      </c>
      <c r="FS6" s="122" t="s">
        <v>26</v>
      </c>
      <c r="FT6" s="122" t="s">
        <v>26</v>
      </c>
      <c r="FU6" s="122" t="s">
        <v>26</v>
      </c>
      <c r="FV6" s="122" t="s">
        <v>26</v>
      </c>
      <c r="FW6" s="122" t="s">
        <v>42</v>
      </c>
      <c r="FX6" s="122" t="s">
        <v>26</v>
      </c>
      <c r="FY6" s="122" t="s">
        <v>42</v>
      </c>
      <c r="FZ6" s="122" t="s">
        <v>42</v>
      </c>
      <c r="GA6" s="122" t="s">
        <v>42</v>
      </c>
      <c r="GB6" s="122" t="s">
        <v>42</v>
      </c>
      <c r="GC6" s="122" t="s">
        <v>42</v>
      </c>
      <c r="GD6" s="122" t="s">
        <v>136</v>
      </c>
      <c r="GE6" s="122"/>
      <c r="GF6" s="122" t="s">
        <v>138</v>
      </c>
      <c r="GG6" s="122"/>
      <c r="GH6" s="122" t="s">
        <v>138</v>
      </c>
      <c r="GI6" s="122" t="s">
        <v>138</v>
      </c>
      <c r="GJ6" s="122" t="s">
        <v>136</v>
      </c>
      <c r="GK6" s="122" t="s">
        <v>136</v>
      </c>
      <c r="GL6" s="122" t="s">
        <v>136</v>
      </c>
      <c r="GM6" s="121" t="s">
        <v>26</v>
      </c>
      <c r="GN6" s="121" t="s">
        <v>42</v>
      </c>
      <c r="GO6" s="121" t="s">
        <v>42</v>
      </c>
      <c r="GP6" s="121" t="s">
        <v>71</v>
      </c>
      <c r="GQ6" s="121" t="s">
        <v>42</v>
      </c>
      <c r="GR6" s="121" t="s">
        <v>42</v>
      </c>
      <c r="GS6" s="121" t="s">
        <v>42</v>
      </c>
      <c r="GT6" s="121" t="s">
        <v>42</v>
      </c>
      <c r="GU6" s="121" t="s">
        <v>26</v>
      </c>
      <c r="GV6" s="121" t="s">
        <v>66</v>
      </c>
      <c r="GW6" s="121" t="s">
        <v>26</v>
      </c>
      <c r="GX6" s="121" t="s">
        <v>26</v>
      </c>
      <c r="GY6" s="121" t="s">
        <v>71</v>
      </c>
      <c r="GZ6" s="121" t="s">
        <v>26</v>
      </c>
      <c r="HA6" s="121" t="s">
        <v>71</v>
      </c>
      <c r="HB6" s="121"/>
      <c r="HC6" s="121" t="s">
        <v>136</v>
      </c>
      <c r="HD6" s="121"/>
      <c r="HE6" s="121" t="s">
        <v>138</v>
      </c>
      <c r="HF6" s="121"/>
      <c r="HG6" s="121"/>
      <c r="HH6" s="121"/>
      <c r="HI6" s="121"/>
      <c r="HJ6" s="121"/>
      <c r="HK6" s="122" t="s">
        <v>62</v>
      </c>
      <c r="HL6" s="122" t="s">
        <v>71</v>
      </c>
      <c r="HM6" s="122" t="s">
        <v>26</v>
      </c>
      <c r="HN6" s="122" t="s">
        <v>26</v>
      </c>
      <c r="HO6" s="122" t="s">
        <v>26</v>
      </c>
      <c r="HP6" s="122" t="s">
        <v>26</v>
      </c>
      <c r="HQ6" s="122" t="s">
        <v>42</v>
      </c>
      <c r="HR6" s="122" t="s">
        <v>76</v>
      </c>
      <c r="HS6" s="122" t="s">
        <v>42</v>
      </c>
      <c r="HT6" s="122" t="s">
        <v>42</v>
      </c>
      <c r="HU6" s="122" t="s">
        <v>71</v>
      </c>
      <c r="HV6" s="122" t="s">
        <v>71</v>
      </c>
      <c r="HW6" s="122" t="s">
        <v>26</v>
      </c>
      <c r="HX6" s="122" t="s">
        <v>71</v>
      </c>
      <c r="HY6" s="122" t="s">
        <v>26</v>
      </c>
      <c r="HZ6" s="122"/>
      <c r="IA6" s="122"/>
      <c r="IB6" s="122"/>
      <c r="IC6" s="122"/>
      <c r="ID6" s="122"/>
      <c r="IE6" s="122"/>
      <c r="IF6" s="122"/>
      <c r="IG6" s="122"/>
      <c r="IH6" s="122"/>
      <c r="II6" s="121" t="s">
        <v>26</v>
      </c>
      <c r="IJ6" s="121" t="s">
        <v>42</v>
      </c>
      <c r="IK6" s="121" t="s">
        <v>42</v>
      </c>
      <c r="IL6" s="121" t="s">
        <v>71</v>
      </c>
      <c r="IM6" s="121" t="s">
        <v>62</v>
      </c>
      <c r="IN6" s="121" t="s">
        <v>62</v>
      </c>
      <c r="IO6" s="121" t="s">
        <v>26</v>
      </c>
      <c r="IP6" s="121" t="s">
        <v>26</v>
      </c>
      <c r="IQ6" s="121" t="s">
        <v>66</v>
      </c>
      <c r="IR6" s="121" t="s">
        <v>26</v>
      </c>
      <c r="IS6" s="121" t="s">
        <v>42</v>
      </c>
      <c r="IT6" s="121" t="s">
        <v>42</v>
      </c>
      <c r="IU6" s="121" t="s">
        <v>42</v>
      </c>
      <c r="IV6" s="121" t="s">
        <v>42</v>
      </c>
      <c r="IW6" s="121" t="s">
        <v>42</v>
      </c>
      <c r="IX6" s="121"/>
      <c r="IY6" s="121" t="s">
        <v>136</v>
      </c>
      <c r="IZ6" s="121"/>
      <c r="JA6" s="121" t="s">
        <v>138</v>
      </c>
      <c r="JB6" s="121" t="s">
        <v>138</v>
      </c>
      <c r="JC6" s="121" t="s">
        <v>138</v>
      </c>
      <c r="JD6" s="121" t="s">
        <v>136</v>
      </c>
      <c r="JE6" s="121" t="s">
        <v>136</v>
      </c>
      <c r="JF6" s="121" t="s">
        <v>136</v>
      </c>
      <c r="JG6" s="122" t="s">
        <v>42</v>
      </c>
      <c r="JH6" s="122" t="s">
        <v>26</v>
      </c>
      <c r="JI6" s="122" t="s">
        <v>71</v>
      </c>
      <c r="JJ6" s="122" t="s">
        <v>42</v>
      </c>
      <c r="JK6" s="122" t="s">
        <v>42</v>
      </c>
      <c r="JL6" s="122" t="s">
        <v>42</v>
      </c>
      <c r="JM6" s="122" t="s">
        <v>76</v>
      </c>
      <c r="JN6" s="122" t="s">
        <v>42</v>
      </c>
      <c r="JO6" s="122" t="s">
        <v>26</v>
      </c>
      <c r="JP6" s="122" t="s">
        <v>66</v>
      </c>
      <c r="JQ6" s="122" t="s">
        <v>26</v>
      </c>
      <c r="JR6" s="122" t="s">
        <v>26</v>
      </c>
      <c r="JS6" s="122" t="s">
        <v>71</v>
      </c>
      <c r="JT6" s="122" t="s">
        <v>26</v>
      </c>
      <c r="JU6" s="122" t="s">
        <v>71</v>
      </c>
      <c r="JV6" s="122" t="s">
        <v>136</v>
      </c>
      <c r="JW6" s="122"/>
      <c r="JX6" s="122" t="s">
        <v>138</v>
      </c>
      <c r="JY6" s="122"/>
      <c r="JZ6" s="122"/>
      <c r="KA6" s="122"/>
      <c r="KB6" s="122"/>
      <c r="KC6" s="122"/>
      <c r="KD6" s="122"/>
    </row>
    <row r="7" spans="1:290" s="115" customFormat="1" ht="17" customHeight="1" x14ac:dyDescent="0.4">
      <c r="A7" s="144"/>
      <c r="B7" s="147"/>
      <c r="C7" s="123" t="str">
        <f>IFERROR(VLOOKUP(C6,教师安排!$A:$Y,C$2+1,FALSE),"")</f>
        <v>杨彬</v>
      </c>
      <c r="D7" s="123" t="str">
        <f>IFERROR(VLOOKUP(D6,教师安排!$A:$Y,D$2+1,FALSE),"")</f>
        <v>岳/厉</v>
      </c>
      <c r="E7" s="123" t="str">
        <f>IFERROR(VLOOKUP(E6,教师安排!$A:$Y,E$2+1,FALSE),"")</f>
        <v>岳/厉</v>
      </c>
      <c r="F7" s="123" t="str">
        <f>IFERROR(VLOOKUP(F6,教师安排!$A:$Y,F$2+1,FALSE),"")</f>
        <v>史振塞</v>
      </c>
      <c r="G7" s="123" t="str">
        <f>IFERROR(VLOOKUP(G6,教师安排!$A:$Y,G$2+1,FALSE),"")</f>
        <v>张冰雪</v>
      </c>
      <c r="H7" s="123" t="str">
        <f>IFERROR(VLOOKUP(H6,教师安排!$A:$Y,H$2+1,FALSE),"")</f>
        <v>蒋心言</v>
      </c>
      <c r="I7" s="123" t="str">
        <f>IFERROR(VLOOKUP(I6,教师安排!$A:$Y,I$2+1,FALSE),"")</f>
        <v>韩丽梅</v>
      </c>
      <c r="J7" s="123" t="str">
        <f>IFERROR(VLOOKUP(J6,教师安排!$A:$Y,J$2+1,FALSE),"")</f>
        <v>孙秋杰</v>
      </c>
      <c r="K7" s="123" t="str">
        <f>IFERROR(VLOOKUP(K6,教师安排!$A:$Y,K$2+1,FALSE),"")</f>
        <v>王灼</v>
      </c>
      <c r="L7" s="123" t="str">
        <f>IFERROR(VLOOKUP(L6,教师安排!$A:$Y,L$2+1,FALSE),"")</f>
        <v>胡存想</v>
      </c>
      <c r="M7" s="123" t="str">
        <f>IFERROR(VLOOKUP(M6,教师安排!$A:$Y,M$2+1,FALSE),"")</f>
        <v>张雯皓</v>
      </c>
      <c r="N7" s="123" t="str">
        <f>IFERROR(VLOOKUP(N6,教师安排!$A:$Y,N$2+1,FALSE),"")</f>
        <v>张鑫</v>
      </c>
      <c r="O7" s="123" t="str">
        <f>IFERROR(VLOOKUP(O6,教师安排!$A:$Y,O$2+1,FALSE),"")</f>
        <v>李浩然</v>
      </c>
      <c r="P7" s="123" t="str">
        <f>IFERROR(VLOOKUP(P6,教师安排!$A:$Y,P$2+1,FALSE),"")</f>
        <v>姜媛媛</v>
      </c>
      <c r="Q7" s="123" t="str">
        <f>IFERROR(VLOOKUP(Q6,教师安排!$A:$Y,Q$2+1,FALSE),"")</f>
        <v>路睿</v>
      </c>
      <c r="R7" s="123" t="str">
        <f>IFERROR(VLOOKUP(R6,教师安排!$A:$Y,R$2+1,FALSE),"")</f>
        <v/>
      </c>
      <c r="S7" s="123" t="str">
        <f>IFERROR(VLOOKUP(S6,教师安排!$A:$Y,S$2+1,FALSE),"")</f>
        <v>岳海霞</v>
      </c>
      <c r="T7" s="123" t="str">
        <f>IFERROR(VLOOKUP(T6,教师安排!$A:$Y,T$2+1,FALSE),"")</f>
        <v/>
      </c>
      <c r="U7" s="123" t="str">
        <f>IFERROR(VLOOKUP(U6,教师安排!$A:$Y,U$2+1,FALSE),"")</f>
        <v>厉彦龙</v>
      </c>
      <c r="V7" s="123"/>
      <c r="W7" s="123" t="str">
        <f>IFERROR(VLOOKUP(W6,教师安排!$A:$Y,W$2+1,FALSE),"")</f>
        <v/>
      </c>
      <c r="X7" s="123" t="str">
        <f>IFERROR(VLOOKUP(X6,教师安排!$A:$Y,X$2+1,FALSE),"")</f>
        <v/>
      </c>
      <c r="Y7" s="123" t="str">
        <f>IFERROR(VLOOKUP(Y6,教师安排!$A:$Y,Y$2+1,FALSE),"")</f>
        <v/>
      </c>
      <c r="Z7" s="123" t="str">
        <f>IFERROR(VLOOKUP(Z6,教师安排!$A:$Y,Z$2+1,FALSE),"")</f>
        <v/>
      </c>
      <c r="AA7" s="124" t="str">
        <f>IFERROR(VLOOKUP(AA6,教师安排!$A:$Y,AA$2+1,FALSE),"")</f>
        <v>岳/厉</v>
      </c>
      <c r="AB7" s="124" t="str">
        <f>IFERROR(VLOOKUP(AB6,教师安排!$A:$Y,AB$2+1,FALSE),"")</f>
        <v>史振塞</v>
      </c>
      <c r="AC7" s="124" t="str">
        <f>IFERROR(VLOOKUP(AC6,教师安排!$A:$Y,AC$2+1,FALSE),"")</f>
        <v>张雯皓</v>
      </c>
      <c r="AD7" s="124" t="str">
        <f>IFERROR(VLOOKUP(AD6,教师安排!$A:$Y,AD$2+1,FALSE),"")</f>
        <v>岳/厉</v>
      </c>
      <c r="AE7" s="124" t="str">
        <f>IFERROR(VLOOKUP(AE6,教师安排!$A:$Y,AE$2+1,FALSE),"")</f>
        <v>刘腾</v>
      </c>
      <c r="AF7" s="124" t="str">
        <f>IFERROR(VLOOKUP(AF6,教师安排!$A:$Y,AF$2+1,FALSE),"")</f>
        <v>蒋心言</v>
      </c>
      <c r="AG7" s="124" t="str">
        <f>IFERROR(VLOOKUP(AG6,教师安排!$A:$Y,AG$2+1,FALSE),"")</f>
        <v>孙锦锦</v>
      </c>
      <c r="AH7" s="124" t="str">
        <f>IFERROR(VLOOKUP(AH6,教师安排!$A:$Y,AH$2+1,FALSE),"")</f>
        <v>路睿</v>
      </c>
      <c r="AI7" s="124" t="str">
        <f>IFERROR(VLOOKUP(AI6,教师安排!$A:$Y,AI$2+1,FALSE),"")</f>
        <v>田凤美</v>
      </c>
      <c r="AJ7" s="124" t="str">
        <f>IFERROR(VLOOKUP(AJ6,教师安排!$A:$Y,AJ$2+1,FALSE),"")</f>
        <v>董艳华</v>
      </c>
      <c r="AK7" s="124" t="str">
        <f>IFERROR(VLOOKUP(AK6,教师安排!$A:$Y,AK$2+1,FALSE),"")</f>
        <v>王/宋/翟/胡</v>
      </c>
      <c r="AL7" s="124" t="str">
        <f>IFERROR(VLOOKUP(AL6,教师安排!$A:$Y,AL$2+1,FALSE),"")</f>
        <v>韩/宋/翟/胡</v>
      </c>
      <c r="AM7" s="124" t="str">
        <f>IFERROR(VLOOKUP(AM6,教师安排!$A:$Y,AM$2+1,FALSE),"")</f>
        <v>宋/韩/王</v>
      </c>
      <c r="AN7" s="124" t="str">
        <f>IFERROR(VLOOKUP(AN6,教师安排!$A:$Y,AN$2+1,FALSE),"")</f>
        <v>翟/韩/王</v>
      </c>
      <c r="AO7" s="124" t="str">
        <f>IFERROR(VLOOKUP(AO6,教师安排!$A:$Y,AO$2+1,FALSE),"")</f>
        <v>胡/韩/王</v>
      </c>
      <c r="AP7" s="124" t="str">
        <f>IFERROR(VLOOKUP(AP6,教师安排!$A:$Y,AP$2+1,FALSE),"")</f>
        <v>岳海霞</v>
      </c>
      <c r="AQ7" s="124" t="str">
        <f>IFERROR(VLOOKUP(AQ6,教师安排!$A:$Y,AQ$2+1,FALSE),"")</f>
        <v/>
      </c>
      <c r="AR7" s="124" t="str">
        <f>IFERROR(VLOOKUP(AR6,教师安排!$A:$Y,AR$2+1,FALSE),"")</f>
        <v>厉彦龙</v>
      </c>
      <c r="AS7" s="124" t="str">
        <f>IFERROR(VLOOKUP(AS6,教师安排!$A:$Y,AS$2+1,FALSE),"")</f>
        <v/>
      </c>
      <c r="AT7" s="124" t="str">
        <f>IFERROR(VLOOKUP(AT6,教师安排!$A:$Y,AT$2+1,FALSE),"")</f>
        <v>王灼</v>
      </c>
      <c r="AU7" s="124" t="str">
        <f>IFERROR(VLOOKUP(AU6,教师安排!$A:$Y,AU$2+1,FALSE),"")</f>
        <v>韩丽梅</v>
      </c>
      <c r="AV7" s="124" t="str">
        <f>IFERROR(VLOOKUP(AV6,教师安排!$A:$Y,AV$2+1,FALSE),"")</f>
        <v>宋平</v>
      </c>
      <c r="AW7" s="124" t="str">
        <f>IFERROR(VLOOKUP(AW6,教师安排!$A:$Y,AW$2+1,FALSE),"")</f>
        <v>翟淑玮</v>
      </c>
      <c r="AX7" s="124" t="str">
        <f>IFERROR(VLOOKUP(AX6,教师安排!$A:$Y,AX$2+1,FALSE),"")</f>
        <v>胡存想</v>
      </c>
      <c r="AY7" s="123" t="str">
        <f>IFERROR(VLOOKUP(AY6,教师安排!$A:$Y,AY$2+1,FALSE),"")</f>
        <v>周兴玲</v>
      </c>
      <c r="AZ7" s="123" t="str">
        <f>IFERROR(VLOOKUP(AZ6,教师安排!$A:$Y,AZ$2+1,FALSE),"")</f>
        <v>史振塞</v>
      </c>
      <c r="BA7" s="123" t="str">
        <f>IFERROR(VLOOKUP(BA6,教师安排!$A:$Y,BA$2+1,FALSE),"")</f>
        <v>张雯皓</v>
      </c>
      <c r="BB7" s="123" t="str">
        <f>IFERROR(VLOOKUP(BB6,教师安排!$A:$Y,BB$2+1,FALSE),"")</f>
        <v>刘珊珊</v>
      </c>
      <c r="BC7" s="123" t="str">
        <f>IFERROR(VLOOKUP(BC6,教师安排!$A:$Y,BC$2+1,FALSE),"")</f>
        <v>王灼</v>
      </c>
      <c r="BD7" s="123" t="str">
        <f>IFERROR(VLOOKUP(BD6,教师安排!$A:$Y,BD$2+1,FALSE),"")</f>
        <v>翟淑玮</v>
      </c>
      <c r="BE7" s="123" t="str">
        <f>IFERROR(VLOOKUP(BE6,教师安排!$A:$Y,BE$2+1,FALSE),"")</f>
        <v>孙锦锦</v>
      </c>
      <c r="BF7" s="123" t="str">
        <f>IFERROR(VLOOKUP(BF6,教师安排!$A:$Y,BF$2+1,FALSE),"")</f>
        <v>宋平</v>
      </c>
      <c r="BG7" s="123" t="str">
        <f>IFERROR(VLOOKUP(BG6,教师安排!$A:$Y,BG$2+1,FALSE),"")</f>
        <v>田凤美</v>
      </c>
      <c r="BH7" s="123" t="str">
        <f>IFERROR(VLOOKUP(BH6,教师安排!$A:$Y,BH$2+1,FALSE),"")</f>
        <v>王菲</v>
      </c>
      <c r="BI7" s="123" t="str">
        <f>IFERROR(VLOOKUP(BI6,教师安排!$A:$Y,BI$2+1,FALSE),"")</f>
        <v>路睿</v>
      </c>
      <c r="BJ7" s="123" t="str">
        <f>IFERROR(VLOOKUP(BJ6,教师安排!$A:$Y,BJ$2+1,FALSE),"")</f>
        <v>王雪莲</v>
      </c>
      <c r="BK7" s="123" t="str">
        <f>IFERROR(VLOOKUP(BK6,教师安排!$A:$Y,BK$2+1,FALSE),"")</f>
        <v>李浩然</v>
      </c>
      <c r="BL7" s="123" t="str">
        <f>IFERROR(VLOOKUP(BL6,教师安排!$A:$Y,BL$2+1,FALSE),"")</f>
        <v>姜媛媛</v>
      </c>
      <c r="BM7" s="123" t="str">
        <f>IFERROR(VLOOKUP(BM6,教师安排!$A:$Y,BM$2+1,FALSE),"")</f>
        <v>张鑫</v>
      </c>
      <c r="BN7" s="123" t="str">
        <f>IFERROR(VLOOKUP(BN6,教师安排!$A:$Y,BN$2+1,FALSE),"")</f>
        <v/>
      </c>
      <c r="BO7" s="123" t="str">
        <f>IFERROR(VLOOKUP(BO6,教师安排!$A:$Y,BO$2+1,FALSE),"")</f>
        <v/>
      </c>
      <c r="BP7" s="123" t="str">
        <f>IFERROR(VLOOKUP(BP6,教师安排!$A:$Y,BP$2+1,FALSE),"")</f>
        <v/>
      </c>
      <c r="BQ7" s="123" t="str">
        <f>IFERROR(VLOOKUP(BQ6,教师安排!$A:$Y,BQ$2+1,FALSE),"")</f>
        <v/>
      </c>
      <c r="BR7" s="123"/>
      <c r="BS7" s="123" t="str">
        <f>IFERROR(VLOOKUP(BS6,教师安排!$A:$Y,BS$2+1,FALSE),"")</f>
        <v/>
      </c>
      <c r="BT7" s="123" t="str">
        <f>IFERROR(VLOOKUP(BT6,教师安排!$A:$Y,BT$2+1,FALSE),"")</f>
        <v/>
      </c>
      <c r="BU7" s="123" t="str">
        <f>IFERROR(VLOOKUP(BU6,教师安排!$A:$Y,BU$2+1,FALSE),"")</f>
        <v/>
      </c>
      <c r="BV7" s="123" t="str">
        <f>IFERROR(VLOOKUP(BV6,教师安排!$A:$Y,BV$2+1,FALSE),"")</f>
        <v/>
      </c>
      <c r="BW7" s="124" t="str">
        <f>IFERROR(VLOOKUP(BW6,教师安排!$A:$Y,BW$2+1,FALSE),"")</f>
        <v>周兴玲</v>
      </c>
      <c r="BX7" s="124" t="str">
        <f>IFERROR(VLOOKUP(BX6,教师安排!$A:$Y,BX$2+1,FALSE),"")</f>
        <v>刘珊珊</v>
      </c>
      <c r="BY7" s="124" t="str">
        <f>IFERROR(VLOOKUP(BY6,教师安排!$A:$Y,BY$2+1,FALSE),"")</f>
        <v>杨彬</v>
      </c>
      <c r="BZ7" s="124" t="str">
        <f>IFERROR(VLOOKUP(BZ6,教师安排!$A:$Y,BZ$2+1,FALSE),"")</f>
        <v>史振塞</v>
      </c>
      <c r="CA7" s="124" t="str">
        <f>IFERROR(VLOOKUP(CA6,教师安排!$A:$Y,CA$2+1,FALSE),"")</f>
        <v>刘腾</v>
      </c>
      <c r="CB7" s="124" t="str">
        <f>IFERROR(VLOOKUP(CB6,教师安排!$A:$Y,CB$2+1,FALSE),"")</f>
        <v>姜媛媛</v>
      </c>
      <c r="CC7" s="124" t="str">
        <f>IFERROR(VLOOKUP(CC6,教师安排!$A:$Y,CC$2+1,FALSE),"")</f>
        <v>王雪莲</v>
      </c>
      <c r="CD7" s="124" t="str">
        <f>IFERROR(VLOOKUP(CD6,教师安排!$A:$Y,CD$2+1,FALSE),"")</f>
        <v>孙秋杰</v>
      </c>
      <c r="CE7" s="124" t="str">
        <f>IFERROR(VLOOKUP(CE6,教师安排!$A:$Y,CE$2+1,FALSE),"")</f>
        <v>张冰雪</v>
      </c>
      <c r="CF7" s="124" t="str">
        <f>IFERROR(VLOOKUP(CF6,教师安排!$A:$Y,CF$2+1,FALSE),"")</f>
        <v>胡存想</v>
      </c>
      <c r="CG7" s="124" t="str">
        <f>IFERROR(VLOOKUP(CG6,教师安排!$A:$Y,CG$2+1,FALSE),"")</f>
        <v>张雯皓</v>
      </c>
      <c r="CH7" s="124" t="str">
        <f>IFERROR(VLOOKUP(CH6,教师安排!$A:$Y,CH$2+1,FALSE),"")</f>
        <v>张鑫</v>
      </c>
      <c r="CI7" s="124" t="str">
        <f>IFERROR(VLOOKUP(CI6,教师安排!$A:$Y,CI$2+1,FALSE),"")</f>
        <v>王菲</v>
      </c>
      <c r="CJ7" s="124" t="str">
        <f>IFERROR(VLOOKUP(CJ6,教师安排!$A:$Y,CJ$2+1,FALSE),"")</f>
        <v>李浩然</v>
      </c>
      <c r="CK7" s="124" t="str">
        <f>IFERROR(VLOOKUP(CK6,教师安排!$A:$Y,CK$2+1,FALSE),"")</f>
        <v>路睿</v>
      </c>
      <c r="CL7" s="124" t="str">
        <f>IFERROR(VLOOKUP(CL6,教师安排!$A:$Y,CL$2+1,FALSE),"")</f>
        <v/>
      </c>
      <c r="CM7" s="124" t="str">
        <f>IFERROR(VLOOKUP(CM6,教师安排!$A:$Y,CM$2+1,FALSE),"")</f>
        <v/>
      </c>
      <c r="CN7" s="124" t="str">
        <f>IFERROR(VLOOKUP(CN6,教师安排!$A:$Y,CN$2+1,FALSE),"")</f>
        <v/>
      </c>
      <c r="CO7" s="124"/>
      <c r="CP7" s="124"/>
      <c r="CQ7" s="124"/>
      <c r="CR7" s="124"/>
      <c r="CS7" s="124"/>
      <c r="CT7" s="124"/>
      <c r="CU7" s="123" t="str">
        <f>IFERROR(VLOOKUP(CU6,教师安排!$A:$Y,CU$2+1,FALSE),"")</f>
        <v>岳/厉</v>
      </c>
      <c r="CV7" s="123" t="str">
        <f>IFERROR(VLOOKUP(CV6,教师安排!$A:$Y,CV$2+1,FALSE),"")</f>
        <v>刘珊珊</v>
      </c>
      <c r="CW7" s="123" t="str">
        <f>IFERROR(VLOOKUP(CW6,教师安排!$A:$Y,CW$2+1,FALSE),"")</f>
        <v>杨彬</v>
      </c>
      <c r="CX7" s="123" t="str">
        <f>IFERROR(VLOOKUP(CX6,教师安排!$A:$Y,CX$2+1,FALSE),"")</f>
        <v>岳/厉</v>
      </c>
      <c r="CY7" s="123" t="str">
        <f>IFERROR(VLOOKUP(CY6,教师安排!$A:$Y,CY$2+1,FALSE),"")</f>
        <v>张冰雪</v>
      </c>
      <c r="CZ7" s="123" t="str">
        <f>IFERROR(VLOOKUP(CZ6,教师安排!$A:$Y,CZ$2+1,FALSE),"")</f>
        <v>翟淑玮</v>
      </c>
      <c r="DA7" s="123" t="str">
        <f>IFERROR(VLOOKUP(DA6,教师安排!$A:$Y,DA$2+1,FALSE),"")</f>
        <v>韩丽梅</v>
      </c>
      <c r="DB7" s="123" t="s">
        <v>55</v>
      </c>
      <c r="DC7" s="123" t="str">
        <f>IFERROR(VLOOKUP(DC6,教师安排!$A:$Y,DC$2+1,FALSE),"")</f>
        <v>田凤美</v>
      </c>
      <c r="DD7" s="123" t="str">
        <f>IFERROR(VLOOKUP(DD6,教师安排!$A:$Y,DD$2+1,FALSE),"")</f>
        <v>胡存想</v>
      </c>
      <c r="DE7" s="123" t="str">
        <f>IFERROR(VLOOKUP(DE6,教师安排!$A:$Y,DE$2+1,FALSE),"")</f>
        <v>路睿</v>
      </c>
      <c r="DF7" s="123" t="str">
        <f>IFERROR(VLOOKUP(DF6,教师安排!$A:$Y,DF$2+1,FALSE),"")</f>
        <v>王雪莲</v>
      </c>
      <c r="DG7" s="123" t="str">
        <f>IFERROR(VLOOKUP(DG6,教师安排!$A:$Y,DG$2+1,FALSE),"")</f>
        <v>王菲</v>
      </c>
      <c r="DH7" s="123" t="str">
        <f>IFERROR(VLOOKUP(DH6,教师安排!$A:$Y,DH$2+1,FALSE),"")</f>
        <v>李浩然</v>
      </c>
      <c r="DI7" s="123" t="str">
        <f>IFERROR(VLOOKUP(DI6,教师安排!$A:$Y,DI$2+1,FALSE),"")</f>
        <v>张鑫</v>
      </c>
      <c r="DJ7" s="123" t="str">
        <f>IFERROR(VLOOKUP(DJ6,教师安排!$A:$Y,DJ$2+1,FALSE),"")</f>
        <v>岳海霞</v>
      </c>
      <c r="DK7" s="123" t="str">
        <f>IFERROR(VLOOKUP(DK6,教师安排!$A:$Y,DK$2+1,FALSE),"")</f>
        <v/>
      </c>
      <c r="DL7" s="123" t="str">
        <f>IFERROR(VLOOKUP(DL6,教师安排!$A:$Y,DL$2+1,FALSE),"")</f>
        <v>厉彦龙</v>
      </c>
      <c r="DM7" s="123" t="str">
        <f>IFERROR(VLOOKUP(DM6,教师安排!$A:$Y,DM$2+1,FALSE),"")</f>
        <v/>
      </c>
      <c r="DN7" s="123"/>
      <c r="DO7" s="123" t="str">
        <f>IFERROR(VLOOKUP(DO6,教师安排!$A:$Y,DO$2+1,FALSE),"")</f>
        <v/>
      </c>
      <c r="DP7" s="123" t="str">
        <f>IFERROR(VLOOKUP(DP6,教师安排!$A:$Y,DP$2+1,FALSE),"")</f>
        <v/>
      </c>
      <c r="DQ7" s="123" t="str">
        <f>IFERROR(VLOOKUP(DQ6,教师安排!$A:$Y,DQ$2+1,FALSE),"")</f>
        <v/>
      </c>
      <c r="DR7" s="123" t="str">
        <f>IFERROR(VLOOKUP(DR6,教师安排!$A:$Y,DR$2+1,FALSE),"")</f>
        <v/>
      </c>
      <c r="DS7" s="124" t="str">
        <f>IFERROR(VLOOKUP(DS6,教师安排!$A:$Y,DS$2+1,FALSE),"")</f>
        <v>周兴玲</v>
      </c>
      <c r="DT7" s="124" t="str">
        <f>IFERROR(VLOOKUP(DT6,教师安排!$A:$Y,DT$2+1,FALSE),"")</f>
        <v>史振塞</v>
      </c>
      <c r="DU7" s="124" t="str">
        <f>IFERROR(VLOOKUP(DU6,教师安排!$A:$Y,DU$2+1,FALSE),"")</f>
        <v>张雯皓</v>
      </c>
      <c r="DV7" s="124" t="str">
        <f>IFERROR(VLOOKUP(DV6,教师安排!$A:$Y,DV$2+1,FALSE),"")</f>
        <v>刘珊珊</v>
      </c>
      <c r="DW7" s="124" t="s">
        <v>61</v>
      </c>
      <c r="DX7" s="124" t="str">
        <f>IFERROR(VLOOKUP(DX6,教师安排!$A:$Y,DX$2+1,FALSE),"")</f>
        <v>姜媛媛</v>
      </c>
      <c r="DY7" s="124" t="str">
        <f>IFERROR(VLOOKUP(DY6,教师安排!$A:$Y,DY$2+1,FALSE),"")</f>
        <v>王雪莲</v>
      </c>
      <c r="DZ7" s="124" t="s">
        <v>40</v>
      </c>
      <c r="EA7" s="124" t="str">
        <f>IFERROR(VLOOKUP(EA6,教师安排!$A:$Y,EA$2+1,FALSE),"")</f>
        <v>张冰雪</v>
      </c>
      <c r="EB7" s="124" t="s">
        <v>41</v>
      </c>
      <c r="EC7" s="124" t="str">
        <f>IFERROR(VLOOKUP(EC6,教师安排!$A:$Y,EC$2+1,FALSE),"")</f>
        <v>王/宋/翟/胡</v>
      </c>
      <c r="ED7" s="124" t="str">
        <f>IFERROR(VLOOKUP(ED6,教师安排!$A:$Y,ED$2+1,FALSE),"")</f>
        <v>韩/宋/翟/胡</v>
      </c>
      <c r="EE7" s="124" t="str">
        <f>IFERROR(VLOOKUP(EE6,教师安排!$A:$Y,EE$2+1,FALSE),"")</f>
        <v>宋/韩/王</v>
      </c>
      <c r="EF7" s="124" t="str">
        <f>IFERROR(VLOOKUP(EF6,教师安排!$A:$Y,EF$2+1,FALSE),"")</f>
        <v>翟/韩/王</v>
      </c>
      <c r="EG7" s="124" t="str">
        <f>IFERROR(VLOOKUP(EG6,教师安排!$A:$Y,EG$2+1,FALSE),"")</f>
        <v>胡/韩/王</v>
      </c>
      <c r="EH7" s="124" t="str">
        <f>IFERROR(VLOOKUP(EH6,教师安排!$A:$Y,EH$2+1,FALSE),"")</f>
        <v/>
      </c>
      <c r="EI7" s="124" t="str">
        <f>IFERROR(VLOOKUP(EI6,教师安排!$A:$Y,EI$2+1,FALSE),"")</f>
        <v/>
      </c>
      <c r="EJ7" s="124" t="str">
        <f>IFERROR(VLOOKUP(EJ6,教师安排!$A:$Y,EJ$2+1,FALSE),"")</f>
        <v/>
      </c>
      <c r="EK7" s="124" t="str">
        <f>IFERROR(VLOOKUP(EK6,教师安排!$A:$Y,EK$2+1,FALSE),"")</f>
        <v/>
      </c>
      <c r="EL7" s="124" t="str">
        <f>IFERROR(VLOOKUP(EL6,教师安排!$A:$Y,EL$2+1,FALSE),"")</f>
        <v>王灼</v>
      </c>
      <c r="EM7" s="124" t="str">
        <f>IFERROR(VLOOKUP(EM6,教师安排!$A:$Y,EM$2+1,FALSE),"")</f>
        <v>韩丽梅</v>
      </c>
      <c r="EN7" s="124" t="str">
        <f>IFERROR(VLOOKUP(EN6,教师安排!$A:$Y,EN$2+1,FALSE),"")</f>
        <v>宋平</v>
      </c>
      <c r="EO7" s="124" t="str">
        <f>IFERROR(VLOOKUP(EO6,教师安排!$A:$Y,EO$2+1,FALSE),"")</f>
        <v>翟淑玮</v>
      </c>
      <c r="EP7" s="124" t="str">
        <f>IFERROR(VLOOKUP(EP6,教师安排!$A:$Y,EP$2+1,FALSE),"")</f>
        <v>胡存想</v>
      </c>
      <c r="EQ7" s="123" t="str">
        <f>IFERROR(VLOOKUP(EQ6,教师安排!$A:$Y,EQ$2+1,FALSE),"")</f>
        <v>杨彬</v>
      </c>
      <c r="ER7" s="123" t="str">
        <f>IFERROR(VLOOKUP(ER6,教师安排!$A:$Y,ER$2+1,FALSE),"")</f>
        <v>岳/厉</v>
      </c>
      <c r="ES7" s="123" t="str">
        <f>IFERROR(VLOOKUP(ES6,教师安排!$A:$Y,ES$2+1,FALSE),"")</f>
        <v>岳/厉</v>
      </c>
      <c r="ET7" s="123" t="str">
        <f>IFERROR(VLOOKUP(ET6,教师安排!$A:$Y,ET$2+1,FALSE),"")</f>
        <v>史振塞</v>
      </c>
      <c r="EU7" s="123" t="str">
        <f>IFERROR(VLOOKUP(EU6,教师安排!$A:$Y,EU$2+1,FALSE),"")</f>
        <v>刘腾</v>
      </c>
      <c r="EV7" s="123" t="str">
        <f>IFERROR(VLOOKUP(EV6,教师安排!$A:$Y,EV$2+1,FALSE),"")</f>
        <v>蒋心言</v>
      </c>
      <c r="EW7" s="123" t="str">
        <f>IFERROR(VLOOKUP(EW6,教师安排!$A:$Y,EW$2+1,FALSE),"")</f>
        <v>孙锦锦</v>
      </c>
      <c r="EX7" s="123" t="str">
        <f>IFERROR(VLOOKUP(EX6,教师安排!$A:$Y,EX$2+1,FALSE),"")</f>
        <v>孙秋杰</v>
      </c>
      <c r="EY7" s="123" t="str">
        <f>IFERROR(VLOOKUP(EY6,教师安排!$A:$Y,EY$2+1,FALSE),"")</f>
        <v>王灼</v>
      </c>
      <c r="EZ7" s="123" t="str">
        <f>IFERROR(VLOOKUP(EZ6,教师安排!$A:$Y,EZ$2+1,FALSE),"")</f>
        <v>董艳华</v>
      </c>
      <c r="FA7" s="123" t="str">
        <f>IFERROR(VLOOKUP(FA6,教师安排!$A:$Y,FA$2+1,FALSE),"")</f>
        <v>张雯皓</v>
      </c>
      <c r="FB7" s="123" t="str">
        <f>IFERROR(VLOOKUP(FB6,教师安排!$A:$Y,FB$2+1,FALSE),"")</f>
        <v>张鑫</v>
      </c>
      <c r="FC7" s="123" t="str">
        <f>IFERROR(VLOOKUP(FC6,教师安排!$A:$Y,FC$2+1,FALSE),"")</f>
        <v>王菲</v>
      </c>
      <c r="FD7" s="123" t="str">
        <f>IFERROR(VLOOKUP(FD6,教师安排!$A:$Y,FD$2+1,FALSE),"")</f>
        <v>李浩然</v>
      </c>
      <c r="FE7" s="123" t="str">
        <f>IFERROR(VLOOKUP(FE6,教师安排!$A:$Y,FE$2+1,FALSE),"")</f>
        <v>路睿</v>
      </c>
      <c r="FF7" s="123" t="str">
        <f>IFERROR(VLOOKUP(FF6,教师安排!$A:$Y,FF$2+1,FALSE),"")</f>
        <v/>
      </c>
      <c r="FG7" s="123" t="str">
        <f>IFERROR(VLOOKUP(FG6,教师安排!$A:$Y,FG$2+1,FALSE),"")</f>
        <v>岳海霞</v>
      </c>
      <c r="FH7" s="123" t="str">
        <f>IFERROR(VLOOKUP(FH6,教师安排!$A:$Y,FH$2+1,FALSE),"")</f>
        <v/>
      </c>
      <c r="FI7" s="123" t="str">
        <f>IFERROR(VLOOKUP(FI6,教师安排!$A:$Y,FI$2+1,FALSE),"")</f>
        <v>厉彦龙</v>
      </c>
      <c r="FJ7" s="123"/>
      <c r="FK7" s="123" t="str">
        <f>IFERROR(VLOOKUP(FK6,教师安排!$A:$Y,FK$2+1,FALSE),"")</f>
        <v/>
      </c>
      <c r="FL7" s="123" t="str">
        <f>IFERROR(VLOOKUP(FL6,教师安排!$A:$Y,FL$2+1,FALSE),"")</f>
        <v/>
      </c>
      <c r="FM7" s="123" t="str">
        <f>IFERROR(VLOOKUP(FM6,教师安排!$A:$Y,FM$2+1,FALSE),"")</f>
        <v/>
      </c>
      <c r="FN7" s="123" t="str">
        <f>IFERROR(VLOOKUP(FN6,教师安排!$A:$Y,FN$2+1,FALSE),"")</f>
        <v/>
      </c>
      <c r="FO7" s="124" t="str">
        <f>IFERROR(VLOOKUP(FO6,教师安排!$A:$Y,FO$2+1,FALSE),"")</f>
        <v>岳/厉</v>
      </c>
      <c r="FP7" s="124" t="str">
        <f>IFERROR(VLOOKUP(FP6,教师安排!$A:$Y,FP$2+1,FALSE),"")</f>
        <v>刘珊珊</v>
      </c>
      <c r="FQ7" s="124" t="str">
        <f>IFERROR(VLOOKUP(FQ6,教师安排!$A:$Y,FQ$2+1,FALSE),"")</f>
        <v>杨彬</v>
      </c>
      <c r="FR7" s="124" t="str">
        <f>IFERROR(VLOOKUP(FR6,教师安排!$A:$Y,FR$2+1,FALSE),"")</f>
        <v>岳/厉</v>
      </c>
      <c r="FS7" s="124" t="str">
        <f>IFERROR(VLOOKUP(FS6,教师安排!$A:$Y,FS$2+1,FALSE),"")</f>
        <v>张冰雪</v>
      </c>
      <c r="FT7" s="124" t="str">
        <f>IFERROR(VLOOKUP(FT6,教师安排!$A:$Y,FT$2+1,FALSE),"")</f>
        <v>姜媛媛</v>
      </c>
      <c r="FU7" s="124" t="str">
        <f>IFERROR(VLOOKUP(FU6,教师安排!$A:$Y,FU$2+1,FALSE),"")</f>
        <v>王雪莲</v>
      </c>
      <c r="FV7" s="124" t="str">
        <f>IFERROR(VLOOKUP(FV6,教师安排!$A:$Y,FV$2+1,FALSE),"")</f>
        <v>路睿</v>
      </c>
      <c r="FW7" s="124" t="s">
        <v>41</v>
      </c>
      <c r="FX7" s="124" t="str">
        <f>IFERROR(VLOOKUP(FX6,教师安排!$A:$Y,FX$2+1,FALSE),"")</f>
        <v>王菲</v>
      </c>
      <c r="FY7" s="124" t="str">
        <f>IFERROR(VLOOKUP(FY6,教师安排!$A:$Y,FY$2+1,FALSE),"")</f>
        <v>王/宋/翟/胡</v>
      </c>
      <c r="FZ7" s="124" t="str">
        <f>IFERROR(VLOOKUP(FZ6,教师安排!$A:$Y,FZ$2+1,FALSE),"")</f>
        <v>韩/宋/翟/胡</v>
      </c>
      <c r="GA7" s="124" t="str">
        <f>IFERROR(VLOOKUP(GA6,教师安排!$A:$Y,GA$2+1,FALSE),"")</f>
        <v>宋/韩/王</v>
      </c>
      <c r="GB7" s="124" t="str">
        <f>IFERROR(VLOOKUP(GB6,教师安排!$A:$Y,GB$2+1,FALSE),"")</f>
        <v>翟/韩/王</v>
      </c>
      <c r="GC7" s="124" t="str">
        <f>IFERROR(VLOOKUP(GC6,教师安排!$A:$Y,GC$2+1,FALSE),"")</f>
        <v>胡/韩/王</v>
      </c>
      <c r="GD7" s="124" t="str">
        <f>IFERROR(VLOOKUP(GD6,教师安排!$A:$Y,GD$2+1,FALSE),"")</f>
        <v>岳海霞</v>
      </c>
      <c r="GE7" s="124" t="str">
        <f>IFERROR(VLOOKUP(GE6,教师安排!$A:$Y,GE$2+1,FALSE),"")</f>
        <v/>
      </c>
      <c r="GF7" s="124" t="str">
        <f>IFERROR(VLOOKUP(GF6,教师安排!$A:$Y,GF$2+1,FALSE),"")</f>
        <v>厉彦龙</v>
      </c>
      <c r="GG7" s="124" t="str">
        <f>IFERROR(VLOOKUP(GG6,教师安排!$A:$Y,GG$2+1,FALSE),"")</f>
        <v/>
      </c>
      <c r="GH7" s="124" t="str">
        <f>IFERROR(VLOOKUP(GH6,教师安排!$A:$Y,GH$2+1,FALSE),"")</f>
        <v>王灼</v>
      </c>
      <c r="GI7" s="124" t="str">
        <f>IFERROR(VLOOKUP(GI6,教师安排!$A:$Y,GI$2+1,FALSE),"")</f>
        <v>韩丽梅</v>
      </c>
      <c r="GJ7" s="124" t="str">
        <f>IFERROR(VLOOKUP(GJ6,教师安排!$A:$Y,GJ$2+1,FALSE),"")</f>
        <v>宋平</v>
      </c>
      <c r="GK7" s="124" t="str">
        <f>IFERROR(VLOOKUP(GK6,教师安排!$A:$Y,GK$2+1,FALSE),"")</f>
        <v>翟淑玮</v>
      </c>
      <c r="GL7" s="124" t="str">
        <f>IFERROR(VLOOKUP(GL6,教师安排!$A:$Y,GL$2+1,FALSE),"")</f>
        <v>胡存想</v>
      </c>
      <c r="GM7" s="123" t="str">
        <f>IFERROR(VLOOKUP(GM6,教师安排!$A:$Y,GM$2+1,FALSE),"")</f>
        <v>杨彬</v>
      </c>
      <c r="GN7" s="123" t="str">
        <f>IFERROR(VLOOKUP(GN6,教师安排!$A:$Y,GN$2+1,FALSE),"")</f>
        <v>岳/厉</v>
      </c>
      <c r="GO7" s="123" t="str">
        <f>IFERROR(VLOOKUP(GO6,教师安排!$A:$Y,GO$2+1,FALSE),"")</f>
        <v>岳/厉</v>
      </c>
      <c r="GP7" s="123" t="str">
        <f>IFERROR(VLOOKUP(GP6,教师安排!$A:$Y,GP$2+1,FALSE),"")</f>
        <v>刘珊珊</v>
      </c>
      <c r="GQ7" s="123" t="str">
        <f>IFERROR(VLOOKUP(GQ6,教师安排!$A:$Y,GQ$2+1,FALSE),"")</f>
        <v>王灼</v>
      </c>
      <c r="GR7" s="123" t="str">
        <f>IFERROR(VLOOKUP(GR6,教师安排!$A:$Y,GR$2+1,FALSE),"")</f>
        <v>翟淑玮</v>
      </c>
      <c r="GS7" s="123" t="str">
        <f>IFERROR(VLOOKUP(GS6,教师安排!$A:$Y,GS$2+1,FALSE),"")</f>
        <v>韩丽梅</v>
      </c>
      <c r="GT7" s="123" t="str">
        <f>IFERROR(VLOOKUP(GT6,教师安排!$A:$Y,GT$2+1,FALSE),"")</f>
        <v>宋平</v>
      </c>
      <c r="GU7" s="123" t="str">
        <f>IFERROR(VLOOKUP(GU6,教师安排!$A:$Y,GU$2+1,FALSE),"")</f>
        <v>张冰雪</v>
      </c>
      <c r="GV7" s="123" t="str">
        <f>IFERROR(VLOOKUP(GV6,教师安排!$A:$Y,GV$2+1,FALSE),"")</f>
        <v>董艳华</v>
      </c>
      <c r="GW7" s="123" t="str">
        <f>IFERROR(VLOOKUP(GW6,教师安排!$A:$Y,GW$2+1,FALSE),"")</f>
        <v>路睿</v>
      </c>
      <c r="GX7" s="123" t="str">
        <f>IFERROR(VLOOKUP(GX6,教师安排!$A:$Y,GX$2+1,FALSE),"")</f>
        <v>王雪莲</v>
      </c>
      <c r="GY7" s="123" t="str">
        <f>IFERROR(VLOOKUP(GY6,教师安排!$A:$Y,GY$2+1,FALSE),"")</f>
        <v>李浩然</v>
      </c>
      <c r="GZ7" s="123" t="str">
        <f>IFERROR(VLOOKUP(GZ6,教师安排!$A:$Y,GZ$2+1,FALSE),"")</f>
        <v>姜媛媛</v>
      </c>
      <c r="HA7" s="123" t="str">
        <f>IFERROR(VLOOKUP(HA6,教师安排!$A:$Y,HA$2+1,FALSE),"")</f>
        <v>张鑫</v>
      </c>
      <c r="HB7" s="123" t="str">
        <f>IFERROR(VLOOKUP(HB6,教师安排!$A:$Y,HB$2+1,FALSE),"")</f>
        <v/>
      </c>
      <c r="HC7" s="123" t="str">
        <f>IFERROR(VLOOKUP(HC6,教师安排!$A:$Y,HC$2+1,FALSE),"")</f>
        <v>岳海霞</v>
      </c>
      <c r="HD7" s="123" t="str">
        <f>IFERROR(VLOOKUP(HD6,教师安排!$A:$Y,HD$2+1,FALSE),"")</f>
        <v/>
      </c>
      <c r="HE7" s="123" t="str">
        <f>IFERROR(VLOOKUP(HE6,教师安排!$A:$Y,HE$2+1,FALSE),"")</f>
        <v>厉彦龙</v>
      </c>
      <c r="HF7" s="123"/>
      <c r="HG7" s="123" t="str">
        <f>IFERROR(VLOOKUP(HG6,教师安排!$A:$Y,HG$2+1,FALSE),"")</f>
        <v/>
      </c>
      <c r="HH7" s="123" t="str">
        <f>IFERROR(VLOOKUP(HH6,教师安排!$A:$Y,HH$2+1,FALSE),"")</f>
        <v/>
      </c>
      <c r="HI7" s="123" t="str">
        <f>IFERROR(VLOOKUP(HI6,教师安排!$A:$Y,HI$2+1,FALSE),"")</f>
        <v/>
      </c>
      <c r="HJ7" s="123" t="str">
        <f>IFERROR(VLOOKUP(HJ6,教师安排!$A:$Y,HJ$2+1,FALSE),"")</f>
        <v/>
      </c>
      <c r="HK7" s="124" t="str">
        <f>IFERROR(VLOOKUP(HK6,教师安排!$A:$Y,HK$2+1,FALSE),"")</f>
        <v>周兴玲</v>
      </c>
      <c r="HL7" s="124" t="str">
        <f>IFERROR(VLOOKUP(HL6,教师安排!$A:$Y,HL$2+1,FALSE),"")</f>
        <v>刘珊珊</v>
      </c>
      <c r="HM7" s="124" t="str">
        <f>IFERROR(VLOOKUP(HM6,教师安排!$A:$Y,HM$2+1,FALSE),"")</f>
        <v>杨彬</v>
      </c>
      <c r="HN7" s="124" t="str">
        <f>IFERROR(VLOOKUP(HN6,教师安排!$A:$Y,HN$2+1,FALSE),"")</f>
        <v>史振塞</v>
      </c>
      <c r="HO7" s="124" t="str">
        <f>IFERROR(VLOOKUP(HO6,教师安排!$A:$Y,HO$2+1,FALSE),"")</f>
        <v>张冰雪</v>
      </c>
      <c r="HP7" s="124" t="str">
        <f>IFERROR(VLOOKUP(HP6,教师安排!$A:$Y,HP$2+1,FALSE),"")</f>
        <v>姜媛媛</v>
      </c>
      <c r="HQ7" s="124" t="str">
        <f>IFERROR(VLOOKUP(HQ6,教师安排!$A:$Y,HQ$2+1,FALSE),"")</f>
        <v>韩丽梅</v>
      </c>
      <c r="HR7" s="124" t="str">
        <f>IFERROR(VLOOKUP(HR6,教师安排!$A:$Y,HR$2+1,FALSE),"")</f>
        <v>孙秋杰</v>
      </c>
      <c r="HS7" s="124" t="str">
        <f>IFERROR(VLOOKUP(HS6,教师安排!$A:$Y,HS$2+1,FALSE),"")</f>
        <v>王灼</v>
      </c>
      <c r="HT7" s="124" t="str">
        <f>IFERROR(VLOOKUP(HT6,教师安排!$A:$Y,HT$2+1,FALSE),"")</f>
        <v>胡存想</v>
      </c>
      <c r="HU7" s="124" t="str">
        <f>IFERROR(VLOOKUP(HU6,教师安排!$A:$Y,HU$2+1,FALSE),"")</f>
        <v>张雯皓</v>
      </c>
      <c r="HV7" s="124" t="str">
        <f>IFERROR(VLOOKUP(HV6,教师安排!$A:$Y,HV$2+1,FALSE),"")</f>
        <v>张鑫</v>
      </c>
      <c r="HW7" s="124" t="str">
        <f>IFERROR(VLOOKUP(HW6,教师安排!$A:$Y,HW$2+1,FALSE),"")</f>
        <v>王菲</v>
      </c>
      <c r="HX7" s="124" t="str">
        <f>IFERROR(VLOOKUP(HX6,教师安排!$A:$Y,HX$2+1,FALSE),"")</f>
        <v>李浩然</v>
      </c>
      <c r="HY7" s="124" t="str">
        <f>IFERROR(VLOOKUP(HY6,教师安排!$A:$Y,HY$2+1,FALSE),"")</f>
        <v>路睿</v>
      </c>
      <c r="HZ7" s="124" t="str">
        <f>IFERROR(VLOOKUP(HZ6,教师安排!$A:$Y,HZ$2+1,FALSE),"")</f>
        <v/>
      </c>
      <c r="IA7" s="124" t="str">
        <f>IFERROR(VLOOKUP(IA6,教师安排!$A:$Y,IA$2+1,FALSE),"")</f>
        <v/>
      </c>
      <c r="IB7" s="124" t="str">
        <f>IFERROR(VLOOKUP(IB6,教师安排!$A:$Y,IB$2+1,FALSE),"")</f>
        <v/>
      </c>
      <c r="IC7" s="124" t="str">
        <f>IFERROR(VLOOKUP(IC6,教师安排!$A:$Y,IC$2+1,FALSE),"")</f>
        <v/>
      </c>
      <c r="ID7" s="124"/>
      <c r="IE7" s="124" t="str">
        <f>IFERROR(VLOOKUP(IE6,教师安排!$A:$Y,IE$2+1,FALSE),"")</f>
        <v/>
      </c>
      <c r="IF7" s="124" t="str">
        <f>IFERROR(VLOOKUP(IF6,教师安排!$A:$Y,IF$2+1,FALSE),"")</f>
        <v/>
      </c>
      <c r="IG7" s="124" t="str">
        <f>IFERROR(VLOOKUP(IG6,教师安排!$A:$Y,IG$2+1,FALSE),"")</f>
        <v/>
      </c>
      <c r="IH7" s="124" t="str">
        <f>IFERROR(VLOOKUP(IH6,教师安排!$A:$Y,IH$2+1,FALSE),"")</f>
        <v/>
      </c>
      <c r="II7" s="123" t="str">
        <f>IFERROR(VLOOKUP(II6,教师安排!$A:$Y,II$2+1,FALSE),"")</f>
        <v>杨彬</v>
      </c>
      <c r="IJ7" s="123" t="str">
        <f>IFERROR(VLOOKUP(IJ6,教师安排!$A:$Y,IJ$2+1,FALSE),"")</f>
        <v>岳/厉</v>
      </c>
      <c r="IK7" s="123" t="str">
        <f>IFERROR(VLOOKUP(IK6,教师安排!$A:$Y,IK$2+1,FALSE),"")</f>
        <v>岳/厉</v>
      </c>
      <c r="IL7" s="123" t="str">
        <f>IFERROR(VLOOKUP(IL6,教师安排!$A:$Y,IL$2+1,FALSE),"")</f>
        <v>刘珊珊</v>
      </c>
      <c r="IM7" s="123" t="str">
        <f>IFERROR(VLOOKUP(IM6,教师安排!$A:$Y,IM$2+1,FALSE),"")</f>
        <v>刘腾</v>
      </c>
      <c r="IN7" s="123" t="str">
        <f>IFERROR(VLOOKUP(IN6,教师安排!$A:$Y,IN$2+1,FALSE),"")</f>
        <v>蒋心言</v>
      </c>
      <c r="IO7" s="123" t="str">
        <f>IFERROR(VLOOKUP(IO6,教师安排!$A:$Y,IO$2+1,FALSE),"")</f>
        <v>王雪莲</v>
      </c>
      <c r="IP7" s="123" t="str">
        <f>IFERROR(VLOOKUP(IP6,教师安排!$A:$Y,IP$2+1,FALSE),"")</f>
        <v>路睿</v>
      </c>
      <c r="IQ7" s="123" t="str">
        <f>IFERROR(VLOOKUP(IQ6,教师安排!$A:$Y,IQ$2+1,FALSE),"")</f>
        <v>田凤美</v>
      </c>
      <c r="IR7" s="123" t="str">
        <f>IFERROR(VLOOKUP(IR6,教师安排!$A:$Y,IR$2+1,FALSE),"")</f>
        <v>王菲</v>
      </c>
      <c r="IS7" s="123" t="str">
        <f>IFERROR(VLOOKUP(IS6,教师安排!$A:$Y,IS$2+1,FALSE),"")</f>
        <v>王/宋/翟/胡</v>
      </c>
      <c r="IT7" s="123" t="str">
        <f>IFERROR(VLOOKUP(IT6,教师安排!$A:$Y,IT$2+1,FALSE),"")</f>
        <v>韩/宋/翟/胡</v>
      </c>
      <c r="IU7" s="123" t="str">
        <f>IFERROR(VLOOKUP(IU6,教师安排!$A:$Y,IU$2+1,FALSE),"")</f>
        <v>宋/韩/王</v>
      </c>
      <c r="IV7" s="123" t="str">
        <f>IFERROR(VLOOKUP(IV6,教师安排!$A:$Y,IV$2+1,FALSE),"")</f>
        <v>翟/韩/王</v>
      </c>
      <c r="IW7" s="123" t="str">
        <f>IFERROR(VLOOKUP(IW6,教师安排!$A:$Y,IW$2+1,FALSE),"")</f>
        <v>胡/韩/王</v>
      </c>
      <c r="IX7" s="123" t="str">
        <f>IFERROR(VLOOKUP(IX6,教师安排!$A:$Y,IX$2+1,FALSE),"")</f>
        <v/>
      </c>
      <c r="IY7" s="123" t="str">
        <f>IFERROR(VLOOKUP(IY6,教师安排!$A:$Y,IY$2+1,FALSE),"")</f>
        <v>岳海霞</v>
      </c>
      <c r="IZ7" s="123" t="str">
        <f>IFERROR(VLOOKUP(IZ6,教师安排!$A:$Y,IZ$2+1,FALSE),"")</f>
        <v/>
      </c>
      <c r="JA7" s="123" t="str">
        <f>IFERROR(VLOOKUP(JA6,教师安排!$A:$Y,JA$2+1,FALSE),"")</f>
        <v>厉彦龙</v>
      </c>
      <c r="JB7" s="123" t="str">
        <f>IFERROR(VLOOKUP(JB6,教师安排!$A:$Y,JB$2+1,FALSE),"")</f>
        <v>王灼</v>
      </c>
      <c r="JC7" s="123" t="str">
        <f>IFERROR(VLOOKUP(JC6,教师安排!$A:$Y,JC$2+1,FALSE),"")</f>
        <v>韩丽梅</v>
      </c>
      <c r="JD7" s="123" t="str">
        <f>IFERROR(VLOOKUP(JD6,教师安排!$A:$Y,JD$2+1,FALSE),"")</f>
        <v>宋平</v>
      </c>
      <c r="JE7" s="123" t="str">
        <f>IFERROR(VLOOKUP(JE6,教师安排!$A:$Y,JE$2+1,FALSE),"")</f>
        <v>翟淑玮</v>
      </c>
      <c r="JF7" s="123" t="str">
        <f>IFERROR(VLOOKUP(JF6,教师安排!$A:$Y,JF$2+1,FALSE),"")</f>
        <v>胡存想</v>
      </c>
      <c r="JG7" s="124" t="str">
        <f>IFERROR(VLOOKUP(JG6,教师安排!$A:$Y,JG$2+1,FALSE),"")</f>
        <v>岳/厉</v>
      </c>
      <c r="JH7" s="124" t="str">
        <f>IFERROR(VLOOKUP(JH6,教师安排!$A:$Y,JH$2+1,FALSE),"")</f>
        <v>史振塞</v>
      </c>
      <c r="JI7" s="124" t="str">
        <f>IFERROR(VLOOKUP(JI6,教师安排!$A:$Y,JI$2+1,FALSE),"")</f>
        <v>张雯皓</v>
      </c>
      <c r="JJ7" s="124" t="str">
        <f>IFERROR(VLOOKUP(JJ6,教师安排!$A:$Y,JJ$2+1,FALSE),"")</f>
        <v>岳/厉</v>
      </c>
      <c r="JK7" s="124" t="str">
        <f>IFERROR(VLOOKUP(JK6,教师安排!$A:$Y,JK$2+1,FALSE),"")</f>
        <v>王灼</v>
      </c>
      <c r="JL7" s="124" t="str">
        <f>IFERROR(VLOOKUP(JL6,教师安排!$A:$Y,JL$2+1,FALSE),"")</f>
        <v>翟淑玮</v>
      </c>
      <c r="JM7" s="124" t="str">
        <f>IFERROR(VLOOKUP(JM6,教师安排!$A:$Y,JM$2+1,FALSE),"")</f>
        <v>孙锦锦</v>
      </c>
      <c r="JN7" s="124" t="str">
        <f>IFERROR(VLOOKUP(JN6,教师安排!$A:$Y,JN$2+1,FALSE),"")</f>
        <v>宋平</v>
      </c>
      <c r="JO7" s="124" t="str">
        <f>IFERROR(VLOOKUP(JO6,教师安排!$A:$Y,JO$2+1,FALSE),"")</f>
        <v>张冰雪</v>
      </c>
      <c r="JP7" s="124" t="str">
        <f>IFERROR(VLOOKUP(JP6,教师安排!$A:$Y,JP$2+1,FALSE),"")</f>
        <v>董艳华</v>
      </c>
      <c r="JQ7" s="124" t="str">
        <f>IFERROR(VLOOKUP(JQ6,教师安排!$A:$Y,JQ$2+1,FALSE),"")</f>
        <v>路睿</v>
      </c>
      <c r="JR7" s="124" t="str">
        <f>IFERROR(VLOOKUP(JR6,教师安排!$A:$Y,JR$2+1,FALSE),"")</f>
        <v>王雪莲</v>
      </c>
      <c r="JS7" s="124" t="str">
        <f>IFERROR(VLOOKUP(JS6,教师安排!$A:$Y,JS$2+1,FALSE),"")</f>
        <v>李浩然</v>
      </c>
      <c r="JT7" s="124" t="str">
        <f>IFERROR(VLOOKUP(JT6,教师安排!$A:$Y,JT$2+1,FALSE),"")</f>
        <v>姜媛媛</v>
      </c>
      <c r="JU7" s="124" t="str">
        <f>IFERROR(VLOOKUP(JU6,教师安排!$A:$Y,JU$2+1,FALSE),"")</f>
        <v>张鑫</v>
      </c>
      <c r="JV7" s="124" t="str">
        <f>IFERROR(VLOOKUP(JV6,教师安排!$A:$Y,JV$2+1,FALSE),"")</f>
        <v>岳海霞</v>
      </c>
      <c r="JW7" s="124" t="str">
        <f>IFERROR(VLOOKUP(JW6,教师安排!$A:$Y,JW$2+1,FALSE),"")</f>
        <v/>
      </c>
      <c r="JX7" s="124" t="str">
        <f>IFERROR(VLOOKUP(JX6,教师安排!$A:$Y,JX$2+1,FALSE),"")</f>
        <v>厉彦龙</v>
      </c>
      <c r="JY7" s="124" t="str">
        <f>IFERROR(VLOOKUP(JY6,教师安排!$A:$Y,JY$2+1,FALSE),"")</f>
        <v/>
      </c>
      <c r="JZ7" s="124"/>
      <c r="KA7" s="124" t="str">
        <f>IFERROR(VLOOKUP(KA6,教师安排!$A:$Y,KA$2+1,FALSE),"")</f>
        <v/>
      </c>
      <c r="KB7" s="124" t="str">
        <f>IFERROR(VLOOKUP(KB6,教师安排!$A:$Y,KB$2+1,FALSE),"")</f>
        <v/>
      </c>
      <c r="KC7" s="124" t="str">
        <f>IFERROR(VLOOKUP(KC6,教师安排!$A:$Y,KC$2+1,FALSE),"")</f>
        <v/>
      </c>
      <c r="KD7" s="124" t="str">
        <f>IFERROR(VLOOKUP(KD6,教师安排!$A:$Y,KD$2+1,FALSE),"")</f>
        <v/>
      </c>
    </row>
    <row r="8" spans="1:290" s="116" customFormat="1" ht="17" customHeight="1" x14ac:dyDescent="0.4">
      <c r="A8" s="145" t="s">
        <v>160</v>
      </c>
      <c r="B8" s="143">
        <v>1</v>
      </c>
      <c r="C8" s="121" t="s">
        <v>81</v>
      </c>
      <c r="D8" s="121" t="s">
        <v>71</v>
      </c>
      <c r="E8" s="121" t="s">
        <v>66</v>
      </c>
      <c r="F8" s="121" t="s">
        <v>62</v>
      </c>
      <c r="G8" s="121" t="s">
        <v>58</v>
      </c>
      <c r="H8" s="121" t="s">
        <v>81</v>
      </c>
      <c r="I8" s="121" t="s">
        <v>42</v>
      </c>
      <c r="J8" s="121" t="s">
        <v>42</v>
      </c>
      <c r="K8" s="121" t="s">
        <v>62</v>
      </c>
      <c r="L8" s="121" t="s">
        <v>92</v>
      </c>
      <c r="M8" s="121" t="s">
        <v>66</v>
      </c>
      <c r="N8" s="121" t="s">
        <v>34</v>
      </c>
      <c r="O8" s="121" t="s">
        <v>76</v>
      </c>
      <c r="P8" s="121" t="s">
        <v>66</v>
      </c>
      <c r="Q8" s="121" t="s">
        <v>71</v>
      </c>
      <c r="R8" s="121"/>
      <c r="S8" s="121"/>
      <c r="T8" s="121"/>
      <c r="U8" s="121"/>
      <c r="V8" s="121"/>
      <c r="W8" s="121"/>
      <c r="X8" s="121"/>
      <c r="Y8" s="121"/>
      <c r="Z8" s="121"/>
      <c r="AA8" s="122" t="s">
        <v>58</v>
      </c>
      <c r="AB8" s="122" t="s">
        <v>26</v>
      </c>
      <c r="AC8" s="122" t="s">
        <v>81</v>
      </c>
      <c r="AD8" s="122" t="s">
        <v>85</v>
      </c>
      <c r="AE8" s="122" t="s">
        <v>81</v>
      </c>
      <c r="AF8" s="122" t="s">
        <v>54</v>
      </c>
      <c r="AG8" s="122" t="s">
        <v>76</v>
      </c>
      <c r="AH8" s="122" t="s">
        <v>26</v>
      </c>
      <c r="AI8" s="122" t="s">
        <v>66</v>
      </c>
      <c r="AJ8" s="122" t="s">
        <v>92</v>
      </c>
      <c r="AK8" s="122" t="s">
        <v>42</v>
      </c>
      <c r="AL8" s="122" t="s">
        <v>42</v>
      </c>
      <c r="AM8" s="122" t="s">
        <v>42</v>
      </c>
      <c r="AN8" s="122" t="s">
        <v>42</v>
      </c>
      <c r="AO8" s="122" t="s">
        <v>42</v>
      </c>
      <c r="AP8" s="122"/>
      <c r="AQ8" s="122"/>
      <c r="AR8" s="122"/>
      <c r="AS8" s="122"/>
      <c r="AT8" s="122" t="s">
        <v>138</v>
      </c>
      <c r="AU8" s="122" t="s">
        <v>138</v>
      </c>
      <c r="AV8" s="122" t="s">
        <v>136</v>
      </c>
      <c r="AW8" s="122" t="s">
        <v>136</v>
      </c>
      <c r="AX8" s="122" t="s">
        <v>136</v>
      </c>
      <c r="AY8" s="121" t="s">
        <v>87</v>
      </c>
      <c r="AZ8" s="121" t="s">
        <v>66</v>
      </c>
      <c r="BA8" s="121" t="s">
        <v>34</v>
      </c>
      <c r="BB8" s="121" t="s">
        <v>34</v>
      </c>
      <c r="BC8" s="121" t="s">
        <v>62</v>
      </c>
      <c r="BD8" s="121" t="s">
        <v>58</v>
      </c>
      <c r="BE8" s="121" t="s">
        <v>54</v>
      </c>
      <c r="BF8" s="121" t="s">
        <v>76</v>
      </c>
      <c r="BG8" s="121" t="s">
        <v>76</v>
      </c>
      <c r="BH8" s="121" t="s">
        <v>26</v>
      </c>
      <c r="BI8" s="121" t="s">
        <v>89</v>
      </c>
      <c r="BJ8" s="121" t="s">
        <v>71</v>
      </c>
      <c r="BK8" s="121" t="s">
        <v>34</v>
      </c>
      <c r="BL8" s="121" t="s">
        <v>81</v>
      </c>
      <c r="BM8" s="121" t="s">
        <v>26</v>
      </c>
      <c r="BN8" s="121"/>
      <c r="BO8" s="121"/>
      <c r="BP8" s="121"/>
      <c r="BQ8" s="121"/>
      <c r="BR8" s="121"/>
      <c r="BS8" s="121"/>
      <c r="BT8" s="121"/>
      <c r="BU8" s="121"/>
      <c r="BV8" s="121"/>
      <c r="BW8" s="122" t="s">
        <v>71</v>
      </c>
      <c r="BX8" s="122" t="s">
        <v>26</v>
      </c>
      <c r="BY8" s="122" t="s">
        <v>71</v>
      </c>
      <c r="BZ8" s="122" t="s">
        <v>34</v>
      </c>
      <c r="CA8" s="122" t="s">
        <v>34</v>
      </c>
      <c r="CB8" s="122" t="s">
        <v>58</v>
      </c>
      <c r="CC8" s="122" t="s">
        <v>26</v>
      </c>
      <c r="CD8" s="122" t="s">
        <v>34</v>
      </c>
      <c r="CE8" s="122" t="s">
        <v>26</v>
      </c>
      <c r="CF8" s="122" t="s">
        <v>26</v>
      </c>
      <c r="CG8" s="122" t="s">
        <v>42</v>
      </c>
      <c r="CH8" s="122" t="s">
        <v>42</v>
      </c>
      <c r="CI8" s="122" t="s">
        <v>42</v>
      </c>
      <c r="CJ8" s="122" t="s">
        <v>42</v>
      </c>
      <c r="CK8" s="122" t="s">
        <v>42</v>
      </c>
      <c r="CL8" s="122"/>
      <c r="CM8" s="122"/>
      <c r="CN8" s="122"/>
      <c r="CO8" s="122"/>
      <c r="CP8" s="122" t="s">
        <v>138</v>
      </c>
      <c r="CQ8" s="122" t="s">
        <v>138</v>
      </c>
      <c r="CR8" s="122" t="s">
        <v>136</v>
      </c>
      <c r="CS8" s="122" t="s">
        <v>136</v>
      </c>
      <c r="CT8" s="122" t="s">
        <v>136</v>
      </c>
      <c r="CU8" s="121" t="s">
        <v>58</v>
      </c>
      <c r="CV8" s="121" t="s">
        <v>26</v>
      </c>
      <c r="CW8" s="121" t="s">
        <v>76</v>
      </c>
      <c r="CX8" s="121" t="s">
        <v>62</v>
      </c>
      <c r="CY8" s="121" t="s">
        <v>54</v>
      </c>
      <c r="CZ8" s="121" t="s">
        <v>62</v>
      </c>
      <c r="DA8" s="121" t="s">
        <v>26</v>
      </c>
      <c r="DB8" s="121" t="s">
        <v>26</v>
      </c>
      <c r="DC8" s="121" t="s">
        <v>42</v>
      </c>
      <c r="DD8" s="121" t="s">
        <v>42</v>
      </c>
      <c r="DE8" s="121" t="s">
        <v>76</v>
      </c>
      <c r="DF8" s="121" t="s">
        <v>92</v>
      </c>
      <c r="DG8" s="121" t="s">
        <v>81</v>
      </c>
      <c r="DH8" s="121" t="s">
        <v>81</v>
      </c>
      <c r="DI8" s="121" t="s">
        <v>76</v>
      </c>
      <c r="DJ8" s="121"/>
      <c r="DK8" s="121"/>
      <c r="DL8" s="121"/>
      <c r="DM8" s="121"/>
      <c r="DN8" s="121"/>
      <c r="DO8" s="121"/>
      <c r="DP8" s="121"/>
      <c r="DQ8" s="121"/>
      <c r="DR8" s="121"/>
      <c r="DS8" s="122" t="s">
        <v>34</v>
      </c>
      <c r="DT8" s="122" t="s">
        <v>34</v>
      </c>
      <c r="DU8" s="122" t="s">
        <v>62</v>
      </c>
      <c r="DV8" s="122" t="s">
        <v>58</v>
      </c>
      <c r="DW8" s="122" t="s">
        <v>54</v>
      </c>
      <c r="DX8" s="122" t="s">
        <v>26</v>
      </c>
      <c r="DY8" s="122" t="s">
        <v>42</v>
      </c>
      <c r="DZ8" s="122" t="s">
        <v>34</v>
      </c>
      <c r="EA8" s="122" t="s">
        <v>34</v>
      </c>
      <c r="EB8" s="122" t="s">
        <v>42</v>
      </c>
      <c r="EC8" s="122" t="s">
        <v>34</v>
      </c>
      <c r="ED8" s="122" t="s">
        <v>26</v>
      </c>
      <c r="EE8" s="122" t="s">
        <v>66</v>
      </c>
      <c r="EF8" s="122" t="s">
        <v>76</v>
      </c>
      <c r="EG8" s="122" t="s">
        <v>76</v>
      </c>
      <c r="EH8" s="122"/>
      <c r="EI8" s="122"/>
      <c r="EJ8" s="122"/>
      <c r="EK8" s="122"/>
      <c r="EL8" s="122"/>
      <c r="EM8" s="122"/>
      <c r="EN8" s="122"/>
      <c r="EO8" s="122"/>
      <c r="EP8" s="122"/>
      <c r="EQ8" s="121" t="s">
        <v>26</v>
      </c>
      <c r="ER8" s="121" t="s">
        <v>76</v>
      </c>
      <c r="ES8" s="121" t="s">
        <v>54</v>
      </c>
      <c r="ET8" s="121" t="s">
        <v>26</v>
      </c>
      <c r="EU8" s="121" t="s">
        <v>54</v>
      </c>
      <c r="EV8" s="121" t="s">
        <v>62</v>
      </c>
      <c r="EW8" s="121" t="s">
        <v>76</v>
      </c>
      <c r="EX8" s="121" t="s">
        <v>76</v>
      </c>
      <c r="EY8" s="121" t="s">
        <v>76</v>
      </c>
      <c r="EZ8" s="121" t="s">
        <v>66</v>
      </c>
      <c r="FA8" s="121" t="s">
        <v>42</v>
      </c>
      <c r="FB8" s="121" t="s">
        <v>42</v>
      </c>
      <c r="FC8" s="121" t="s">
        <v>42</v>
      </c>
      <c r="FD8" s="121" t="s">
        <v>42</v>
      </c>
      <c r="FE8" s="121" t="s">
        <v>42</v>
      </c>
      <c r="FF8" s="121"/>
      <c r="FG8" s="121"/>
      <c r="FH8" s="121"/>
      <c r="FI8" s="121"/>
      <c r="FJ8" s="121" t="s">
        <v>138</v>
      </c>
      <c r="FK8" s="121" t="s">
        <v>138</v>
      </c>
      <c r="FL8" s="121" t="s">
        <v>136</v>
      </c>
      <c r="FM8" s="121" t="s">
        <v>136</v>
      </c>
      <c r="FN8" s="121" t="s">
        <v>136</v>
      </c>
      <c r="FO8" s="122" t="s">
        <v>81</v>
      </c>
      <c r="FP8" s="122" t="s">
        <v>71</v>
      </c>
      <c r="FQ8" s="122" t="s">
        <v>66</v>
      </c>
      <c r="FR8" s="122" t="s">
        <v>62</v>
      </c>
      <c r="FS8" s="122" t="s">
        <v>58</v>
      </c>
      <c r="FT8" s="122" t="s">
        <v>81</v>
      </c>
      <c r="FU8" s="122" t="s">
        <v>42</v>
      </c>
      <c r="FV8" s="122" t="s">
        <v>42</v>
      </c>
      <c r="FW8" s="122" t="s">
        <v>62</v>
      </c>
      <c r="FX8" s="122" t="s">
        <v>92</v>
      </c>
      <c r="FY8" s="122" t="s">
        <v>66</v>
      </c>
      <c r="FZ8" s="122" t="s">
        <v>34</v>
      </c>
      <c r="GA8" s="122" t="s">
        <v>76</v>
      </c>
      <c r="GB8" s="122" t="s">
        <v>66</v>
      </c>
      <c r="GC8" s="122" t="s">
        <v>71</v>
      </c>
      <c r="GD8" s="122"/>
      <c r="GE8" s="122"/>
      <c r="GF8" s="122"/>
      <c r="GG8" s="122"/>
      <c r="GH8" s="122"/>
      <c r="GI8" s="122"/>
      <c r="GJ8" s="122"/>
      <c r="GK8" s="122"/>
      <c r="GL8" s="122"/>
      <c r="GM8" s="121" t="s">
        <v>58</v>
      </c>
      <c r="GN8" s="121" t="s">
        <v>26</v>
      </c>
      <c r="GO8" s="121" t="s">
        <v>81</v>
      </c>
      <c r="GP8" s="121" t="s">
        <v>85</v>
      </c>
      <c r="GQ8" s="121" t="s">
        <v>81</v>
      </c>
      <c r="GR8" s="121" t="s">
        <v>54</v>
      </c>
      <c r="GS8" s="121" t="s">
        <v>76</v>
      </c>
      <c r="GT8" s="121" t="s">
        <v>26</v>
      </c>
      <c r="GU8" s="121" t="s">
        <v>66</v>
      </c>
      <c r="GV8" s="121" t="s">
        <v>92</v>
      </c>
      <c r="GW8" s="121" t="s">
        <v>42</v>
      </c>
      <c r="GX8" s="121" t="s">
        <v>42</v>
      </c>
      <c r="GY8" s="121" t="s">
        <v>42</v>
      </c>
      <c r="GZ8" s="121" t="s">
        <v>42</v>
      </c>
      <c r="HA8" s="121" t="s">
        <v>42</v>
      </c>
      <c r="HB8" s="121"/>
      <c r="HC8" s="121"/>
      <c r="HD8" s="121"/>
      <c r="HE8" s="121"/>
      <c r="HF8" s="121" t="s">
        <v>138</v>
      </c>
      <c r="HG8" s="121" t="s">
        <v>138</v>
      </c>
      <c r="HH8" s="121" t="s">
        <v>136</v>
      </c>
      <c r="HI8" s="121" t="s">
        <v>136</v>
      </c>
      <c r="HJ8" s="121" t="s">
        <v>136</v>
      </c>
      <c r="HK8" s="122" t="s">
        <v>71</v>
      </c>
      <c r="HL8" s="122" t="s">
        <v>66</v>
      </c>
      <c r="HM8" s="122" t="s">
        <v>34</v>
      </c>
      <c r="HN8" s="122" t="s">
        <v>34</v>
      </c>
      <c r="HO8" s="122" t="s">
        <v>62</v>
      </c>
      <c r="HP8" s="122" t="s">
        <v>58</v>
      </c>
      <c r="HQ8" s="122" t="s">
        <v>54</v>
      </c>
      <c r="HR8" s="122" t="s">
        <v>76</v>
      </c>
      <c r="HS8" s="122" t="s">
        <v>76</v>
      </c>
      <c r="HT8" s="122" t="s">
        <v>26</v>
      </c>
      <c r="HU8" s="122" t="s">
        <v>89</v>
      </c>
      <c r="HV8" s="122" t="s">
        <v>71</v>
      </c>
      <c r="HW8" s="122" t="s">
        <v>34</v>
      </c>
      <c r="HX8" s="122" t="s">
        <v>81</v>
      </c>
      <c r="HY8" s="122" t="s">
        <v>26</v>
      </c>
      <c r="HZ8" s="122"/>
      <c r="IA8" s="122"/>
      <c r="IB8" s="122"/>
      <c r="IC8" s="122"/>
      <c r="ID8" s="122"/>
      <c r="IE8" s="122"/>
      <c r="IF8" s="122"/>
      <c r="IG8" s="122"/>
      <c r="IH8" s="122"/>
      <c r="II8" s="121" t="s">
        <v>71</v>
      </c>
      <c r="IJ8" s="121" t="s">
        <v>62</v>
      </c>
      <c r="IK8" s="121" t="s">
        <v>71</v>
      </c>
      <c r="IL8" s="121" t="s">
        <v>34</v>
      </c>
      <c r="IM8" s="121" t="s">
        <v>34</v>
      </c>
      <c r="IN8" s="121" t="s">
        <v>58</v>
      </c>
      <c r="IO8" s="121" t="s">
        <v>26</v>
      </c>
      <c r="IP8" s="121" t="s">
        <v>34</v>
      </c>
      <c r="IQ8" s="121" t="s">
        <v>26</v>
      </c>
      <c r="IR8" s="121" t="s">
        <v>26</v>
      </c>
      <c r="IS8" s="121" t="s">
        <v>42</v>
      </c>
      <c r="IT8" s="121" t="s">
        <v>42</v>
      </c>
      <c r="IU8" s="121" t="s">
        <v>42</v>
      </c>
      <c r="IV8" s="121" t="s">
        <v>42</v>
      </c>
      <c r="IW8" s="121" t="s">
        <v>42</v>
      </c>
      <c r="IX8" s="121"/>
      <c r="IY8" s="121"/>
      <c r="IZ8" s="121"/>
      <c r="JA8" s="121"/>
      <c r="JB8" s="121" t="s">
        <v>138</v>
      </c>
      <c r="JC8" s="121" t="s">
        <v>138</v>
      </c>
      <c r="JD8" s="121" t="s">
        <v>136</v>
      </c>
      <c r="JE8" s="121" t="s">
        <v>136</v>
      </c>
      <c r="JF8" s="121" t="s">
        <v>136</v>
      </c>
      <c r="JG8" s="122" t="s">
        <v>58</v>
      </c>
      <c r="JH8" s="122" t="s">
        <v>26</v>
      </c>
      <c r="JI8" s="122" t="s">
        <v>34</v>
      </c>
      <c r="JJ8" s="122" t="s">
        <v>76</v>
      </c>
      <c r="JK8" s="122" t="s">
        <v>54</v>
      </c>
      <c r="JL8" s="122" t="s">
        <v>62</v>
      </c>
      <c r="JM8" s="122" t="s">
        <v>26</v>
      </c>
      <c r="JN8" s="122" t="s">
        <v>26</v>
      </c>
      <c r="JO8" s="122" t="s">
        <v>42</v>
      </c>
      <c r="JP8" s="122" t="s">
        <v>42</v>
      </c>
      <c r="JQ8" s="122" t="s">
        <v>92</v>
      </c>
      <c r="JR8" s="122" t="s">
        <v>71</v>
      </c>
      <c r="JS8" s="122" t="s">
        <v>81</v>
      </c>
      <c r="JT8" s="122" t="s">
        <v>81</v>
      </c>
      <c r="JU8" s="122" t="s">
        <v>76</v>
      </c>
      <c r="JV8" s="122"/>
      <c r="JW8" s="122"/>
      <c r="JX8" s="122"/>
      <c r="JY8" s="122"/>
      <c r="JZ8" s="122"/>
      <c r="KA8" s="122"/>
      <c r="KB8" s="122"/>
      <c r="KC8" s="122"/>
      <c r="KD8" s="122"/>
    </row>
    <row r="9" spans="1:290" s="117" customFormat="1" ht="18" customHeight="1" x14ac:dyDescent="0.4">
      <c r="A9" s="145"/>
      <c r="B9" s="143"/>
      <c r="C9" s="125" t="str">
        <f>IFERROR(VLOOKUP(C8,教师安排!$A:$Y,C$2+1,FALSE),"")</f>
        <v>王庆超</v>
      </c>
      <c r="D9" s="125" t="str">
        <f>IFERROR(VLOOKUP(D8,教师安排!$A:$Y,D$2+1,FALSE),"")</f>
        <v>刘珊珊</v>
      </c>
      <c r="E9" s="125" t="str">
        <f>IFERROR(VLOOKUP(E8,教师安排!$A:$Y,E$2+1,FALSE),"")</f>
        <v>李雯</v>
      </c>
      <c r="F9" s="125" t="str">
        <f>IFERROR(VLOOKUP(F8,教师安排!$A:$Y,F$2+1,FALSE),"")</f>
        <v>周兴玲</v>
      </c>
      <c r="G9" s="125" t="str">
        <f>IFERROR(VLOOKUP(G8,教师安排!$A:$Y,G$2+1,FALSE),"")</f>
        <v>李振铎</v>
      </c>
      <c r="H9" s="125" t="str">
        <f>IFERROR(VLOOKUP(H8,教师安排!$A:$Y,H$2+1,FALSE),"")</f>
        <v>刘天骄</v>
      </c>
      <c r="I9" s="125" t="str">
        <f>IFERROR(VLOOKUP(I8,教师安排!$A:$Y,I$2+1,FALSE),"")</f>
        <v>韩丽梅</v>
      </c>
      <c r="J9" s="125" t="str">
        <f>IFERROR(VLOOKUP(J8,教师安排!$A:$Y,J$2+1,FALSE),"")</f>
        <v>宋平</v>
      </c>
      <c r="K9" s="125" t="str">
        <f>IFERROR(VLOOKUP(K8,教师安排!$A:$Y,K$2+1,FALSE),"")</f>
        <v>刘腾</v>
      </c>
      <c r="L9" s="125" t="str">
        <f>IFERROR(VLOOKUP(L8,教师安排!$A:$Y,L$2+1,FALSE),"")</f>
        <v>孙显阳</v>
      </c>
      <c r="M9" s="125" t="str">
        <f>IFERROR(VLOOKUP(M8,教师安排!$A:$Y,M$2+1,FALSE),"")</f>
        <v>田凤美</v>
      </c>
      <c r="N9" s="125" t="str">
        <f>IFERROR(VLOOKUP(N8,教师安排!$A:$Y,N$2+1,FALSE),"")</f>
        <v>孙娜</v>
      </c>
      <c r="O9" s="125" t="str">
        <f>IFERROR(VLOOKUP(O8,教师安排!$A:$Y,O$2+1,FALSE),"")</f>
        <v>王硕</v>
      </c>
      <c r="P9" s="125" t="str">
        <f>IFERROR(VLOOKUP(P8,教师安排!$A:$Y,P$2+1,FALSE),"")</f>
        <v>董艳华</v>
      </c>
      <c r="Q9" s="125" t="str">
        <f>IFERROR(VLOOKUP(Q8,教师安排!$A:$Y,Q$2+1,FALSE),"")</f>
        <v>张鑫</v>
      </c>
      <c r="R9" s="125" t="str">
        <f>IFERROR(VLOOKUP(R8,教师安排!$A:$Y,R$2+1,FALSE),"")</f>
        <v/>
      </c>
      <c r="S9" s="125" t="str">
        <f>IFERROR(VLOOKUP(S8,教师安排!$A:$Y,S$2+1,FALSE),"")</f>
        <v/>
      </c>
      <c r="T9" s="125" t="str">
        <f>IFERROR(VLOOKUP(T8,教师安排!$A:$Y,T$2+1,FALSE),"")</f>
        <v/>
      </c>
      <c r="U9" s="125" t="str">
        <f>IFERROR(VLOOKUP(U8,教师安排!$A:$Y,U$2+1,FALSE),"")</f>
        <v/>
      </c>
      <c r="V9" s="125"/>
      <c r="W9" s="125" t="str">
        <f>IFERROR(VLOOKUP(W8,教师安排!$A:$Y,W$2+1,FALSE),"")</f>
        <v/>
      </c>
      <c r="X9" s="125" t="str">
        <f>IFERROR(VLOOKUP(X8,教师安排!$A:$Y,X$2+1,FALSE),"")</f>
        <v/>
      </c>
      <c r="Y9" s="125" t="str">
        <f>IFERROR(VLOOKUP(Y8,教师安排!$A:$Y,Y$2+1,FALSE),"")</f>
        <v/>
      </c>
      <c r="Z9" s="125" t="str">
        <f>IFERROR(VLOOKUP(Z8,教师安排!$A:$Y,Z$2+1,FALSE),"")</f>
        <v/>
      </c>
      <c r="AA9" s="126" t="str">
        <f>IFERROR(VLOOKUP(AA8,教师安排!$A:$Y,AA$2+1,FALSE),"")</f>
        <v>马崇庆</v>
      </c>
      <c r="AB9" s="126" t="str">
        <f>IFERROR(VLOOKUP(AB8,教师安排!$A:$Y,AB$2+1,FALSE),"")</f>
        <v>史振塞</v>
      </c>
      <c r="AC9" s="126" t="str">
        <f>IFERROR(VLOOKUP(AC8,教师安排!$A:$Y,AC$2+1,FALSE),"")</f>
        <v>王庆超</v>
      </c>
      <c r="AD9" s="126" t="str">
        <f>IFERROR(VLOOKUP(AD8,教师安排!$A:$Y,AD$2+1,FALSE),"")</f>
        <v>李冰慧</v>
      </c>
      <c r="AE9" s="126" t="str">
        <f>IFERROR(VLOOKUP(AE8,教师安排!$A:$Y,AE$2+1,FALSE),"")</f>
        <v>袁奇</v>
      </c>
      <c r="AF9" s="126" t="str">
        <f>IFERROR(VLOOKUP(AF8,教师安排!$A:$Y,AF$2+1,FALSE),"")</f>
        <v>孙存义</v>
      </c>
      <c r="AG9" s="126" t="str">
        <f>IFERROR(VLOOKUP(AG8,教师安排!$A:$Y,AG$2+1,FALSE),"")</f>
        <v>孙锦锦</v>
      </c>
      <c r="AH9" s="126" t="str">
        <f>IFERROR(VLOOKUP(AH8,教师安排!$A:$Y,AH$2+1,FALSE),"")</f>
        <v>路睿</v>
      </c>
      <c r="AI9" s="126" t="str">
        <f>IFERROR(VLOOKUP(AI8,教师安排!$A:$Y,AI$2+1,FALSE),"")</f>
        <v>田凤美</v>
      </c>
      <c r="AJ9" s="126" t="str">
        <f>IFERROR(VLOOKUP(AJ8,教师安排!$A:$Y,AJ$2+1,FALSE),"")</f>
        <v>孙显阳</v>
      </c>
      <c r="AK9" s="126" t="str">
        <f>IFERROR(VLOOKUP(AK8,教师安排!$A:$Y,AK$2+1,FALSE),"")</f>
        <v>王/宋/翟/胡</v>
      </c>
      <c r="AL9" s="126" t="str">
        <f>IFERROR(VLOOKUP(AL8,教师安排!$A:$Y,AL$2+1,FALSE),"")</f>
        <v>韩/宋/翟/胡</v>
      </c>
      <c r="AM9" s="126" t="str">
        <f>IFERROR(VLOOKUP(AM8,教师安排!$A:$Y,AM$2+1,FALSE),"")</f>
        <v>宋/韩/王</v>
      </c>
      <c r="AN9" s="126" t="str">
        <f>IFERROR(VLOOKUP(AN8,教师安排!$A:$Y,AN$2+1,FALSE),"")</f>
        <v>翟/韩/王</v>
      </c>
      <c r="AO9" s="126" t="str">
        <f>IFERROR(VLOOKUP(AO8,教师安排!$A:$Y,AO$2+1,FALSE),"")</f>
        <v>胡/韩/王</v>
      </c>
      <c r="AP9" s="126" t="str">
        <f>IFERROR(VLOOKUP(AP8,教师安排!$A:$Y,AP$2+1,FALSE),"")</f>
        <v/>
      </c>
      <c r="AQ9" s="126" t="str">
        <f>IFERROR(VLOOKUP(AQ8,教师安排!$A:$Y,AQ$2+1,FALSE),"")</f>
        <v/>
      </c>
      <c r="AR9" s="126" t="str">
        <f>IFERROR(VLOOKUP(AR8,教师安排!$A:$Y,AR$2+1,FALSE),"")</f>
        <v/>
      </c>
      <c r="AS9" s="126" t="str">
        <f>IFERROR(VLOOKUP(AS8,教师安排!$A:$Y,AS$2+1,FALSE),"")</f>
        <v/>
      </c>
      <c r="AT9" s="126" t="str">
        <f>IFERROR(VLOOKUP(AT8,教师安排!$A:$Y,AT$2+1,FALSE),"")</f>
        <v>王灼</v>
      </c>
      <c r="AU9" s="126" t="str">
        <f>IFERROR(VLOOKUP(AU8,教师安排!$A:$Y,AU$2+1,FALSE),"")</f>
        <v>韩丽梅</v>
      </c>
      <c r="AV9" s="126" t="str">
        <f>IFERROR(VLOOKUP(AV8,教师安排!$A:$Y,AV$2+1,FALSE),"")</f>
        <v>宋平</v>
      </c>
      <c r="AW9" s="126" t="str">
        <f>IFERROR(VLOOKUP(AW8,教师安排!$A:$Y,AW$2+1,FALSE),"")</f>
        <v>翟淑玮</v>
      </c>
      <c r="AX9" s="126" t="str">
        <f>IFERROR(VLOOKUP(AX8,教师安排!$A:$Y,AX$2+1,FALSE),"")</f>
        <v>胡存想</v>
      </c>
      <c r="AY9" s="125" t="str">
        <f>IFERROR(VLOOKUP(AY8,教师安排!$A:$Y,AY$2+1,FALSE),"")</f>
        <v>张苏</v>
      </c>
      <c r="AZ9" s="125" t="str">
        <f>IFERROR(VLOOKUP(AZ8,教师安排!$A:$Y,AZ$2+1,FALSE),"")</f>
        <v>田凤美</v>
      </c>
      <c r="BA9" s="125" t="str">
        <f>IFERROR(VLOOKUP(BA8,教师安排!$A:$Y,BA$2+1,FALSE),"")</f>
        <v>姚来朋</v>
      </c>
      <c r="BB9" s="125" t="str">
        <f>IFERROR(VLOOKUP(BB8,教师安排!$A:$Y,BB$2+1,FALSE),"")</f>
        <v>侯淑贤</v>
      </c>
      <c r="BC9" s="125" t="str">
        <f>IFERROR(VLOOKUP(BC8,教师安排!$A:$Y,BC$2+1,FALSE),"")</f>
        <v>刘腾</v>
      </c>
      <c r="BD9" s="125" t="str">
        <f>IFERROR(VLOOKUP(BD8,教师安排!$A:$Y,BD$2+1,FALSE),"")</f>
        <v>李振铎</v>
      </c>
      <c r="BE9" s="125" t="str">
        <f>IFERROR(VLOOKUP(BE8,教师安排!$A:$Y,BE$2+1,FALSE),"")</f>
        <v>孙存义</v>
      </c>
      <c r="BF9" s="125" t="str">
        <f>IFERROR(VLOOKUP(BF8,教师安排!$A:$Y,BF$2+1,FALSE),"")</f>
        <v>孙秋杰</v>
      </c>
      <c r="BG9" s="125" t="str">
        <f>IFERROR(VLOOKUP(BG8,教师安排!$A:$Y,BG$2+1,FALSE),"")</f>
        <v>王硕</v>
      </c>
      <c r="BH9" s="125" t="str">
        <f>IFERROR(VLOOKUP(BH8,教师安排!$A:$Y,BH$2+1,FALSE),"")</f>
        <v>王菲</v>
      </c>
      <c r="BI9" s="125" t="str">
        <f>IFERROR(VLOOKUP(BI8,教师安排!$A:$Y,BI$2+1,FALSE),"")</f>
        <v>孙显阳</v>
      </c>
      <c r="BJ9" s="125" t="str">
        <f>IFERROR(VLOOKUP(BJ8,教师安排!$A:$Y,BJ$2+1,FALSE),"")</f>
        <v>张鑫</v>
      </c>
      <c r="BK9" s="125" t="str">
        <f>IFERROR(VLOOKUP(BK8,教师安排!$A:$Y,BK$2+1,FALSE),"")</f>
        <v>范林林</v>
      </c>
      <c r="BL9" s="125" t="str">
        <f>IFERROR(VLOOKUP(BL8,教师安排!$A:$Y,BL$2+1,FALSE),"")</f>
        <v>刘天骄</v>
      </c>
      <c r="BM9" s="125" t="str">
        <f>IFERROR(VLOOKUP(BM8,教师安排!$A:$Y,BM$2+1,FALSE),"")</f>
        <v>路睿</v>
      </c>
      <c r="BN9" s="125" t="str">
        <f>IFERROR(VLOOKUP(BN8,教师安排!$A:$Y,BN$2+1,FALSE),"")</f>
        <v/>
      </c>
      <c r="BO9" s="125" t="str">
        <f>IFERROR(VLOOKUP(BO8,教师安排!$A:$Y,BO$2+1,FALSE),"")</f>
        <v/>
      </c>
      <c r="BP9" s="125" t="str">
        <f>IFERROR(VLOOKUP(BP8,教师安排!$A:$Y,BP$2+1,FALSE),"")</f>
        <v/>
      </c>
      <c r="BQ9" s="125" t="str">
        <f>IFERROR(VLOOKUP(BQ8,教师安排!$A:$Y,BQ$2+1,FALSE),"")</f>
        <v/>
      </c>
      <c r="BR9" s="125"/>
      <c r="BS9" s="125" t="str">
        <f>IFERROR(VLOOKUP(BS8,教师安排!$A:$Y,BS$2+1,FALSE),"")</f>
        <v/>
      </c>
      <c r="BT9" s="125" t="str">
        <f>IFERROR(VLOOKUP(BT8,教师安排!$A:$Y,BT$2+1,FALSE),"")</f>
        <v/>
      </c>
      <c r="BU9" s="125" t="str">
        <f>IFERROR(VLOOKUP(BU8,教师安排!$A:$Y,BU$2+1,FALSE),"")</f>
        <v/>
      </c>
      <c r="BV9" s="125" t="str">
        <f>IFERROR(VLOOKUP(BV8,教师安排!$A:$Y,BV$2+1,FALSE),"")</f>
        <v/>
      </c>
      <c r="BW9" s="126" t="str">
        <f>IFERROR(VLOOKUP(BW8,教师安排!$A:$Y,BW$2+1,FALSE),"")</f>
        <v>刘珊珊</v>
      </c>
      <c r="BX9" s="126" t="str">
        <f>IFERROR(VLOOKUP(BX8,教师安排!$A:$Y,BX$2+1,FALSE),"")</f>
        <v>史振塞</v>
      </c>
      <c r="BY9" s="126" t="str">
        <f>IFERROR(VLOOKUP(BY8,教师安排!$A:$Y,BY$2+1,FALSE),"")</f>
        <v>张雯皓</v>
      </c>
      <c r="BZ9" s="126" t="str">
        <f>IFERROR(VLOOKUP(BZ8,教师安排!$A:$Y,BZ$2+1,FALSE),"")</f>
        <v>侯淑贤</v>
      </c>
      <c r="CA9" s="126" t="str">
        <f>IFERROR(VLOOKUP(CA8,教师安排!$A:$Y,CA$2+1,FALSE),"")</f>
        <v>赵雪敏</v>
      </c>
      <c r="CB9" s="126" t="str">
        <f>IFERROR(VLOOKUP(CB8,教师安排!$A:$Y,CB$2+1,FALSE),"")</f>
        <v>李振铎</v>
      </c>
      <c r="CC9" s="126" t="str">
        <f>IFERROR(VLOOKUP(CC8,教师安排!$A:$Y,CC$2+1,FALSE),"")</f>
        <v>王雪莲</v>
      </c>
      <c r="CD9" s="126" t="str">
        <f>IFERROR(VLOOKUP(CD8,教师安排!$A:$Y,CD$2+1,FALSE),"")</f>
        <v>高文凤</v>
      </c>
      <c r="CE9" s="126" t="str">
        <f>IFERROR(VLOOKUP(CE8,教师安排!$A:$Y,CE$2+1,FALSE),"")</f>
        <v>张冰雪</v>
      </c>
      <c r="CF9" s="126" t="str">
        <f>IFERROR(VLOOKUP(CF8,教师安排!$A:$Y,CF$2+1,FALSE),"")</f>
        <v>王菲</v>
      </c>
      <c r="CG9" s="126" t="str">
        <f>IFERROR(VLOOKUP(CG8,教师安排!$A:$Y,CG$2+1,FALSE),"")</f>
        <v>王/宋/翟/胡</v>
      </c>
      <c r="CH9" s="126" t="str">
        <f>IFERROR(VLOOKUP(CH8,教师安排!$A:$Y,CH$2+1,FALSE),"")</f>
        <v>韩/宋/翟/胡</v>
      </c>
      <c r="CI9" s="126" t="str">
        <f>IFERROR(VLOOKUP(CI8,教师安排!$A:$Y,CI$2+1,FALSE),"")</f>
        <v>宋/韩/王</v>
      </c>
      <c r="CJ9" s="126" t="str">
        <f>IFERROR(VLOOKUP(CJ8,教师安排!$A:$Y,CJ$2+1,FALSE),"")</f>
        <v>翟/韩/王</v>
      </c>
      <c r="CK9" s="126" t="str">
        <f>IFERROR(VLOOKUP(CK8,教师安排!$A:$Y,CK$2+1,FALSE),"")</f>
        <v>胡/韩/王</v>
      </c>
      <c r="CL9" s="126" t="str">
        <f>IFERROR(VLOOKUP(CL8,教师安排!$A:$Y,CL$2+1,FALSE),"")</f>
        <v/>
      </c>
      <c r="CM9" s="126" t="str">
        <f>IFERROR(VLOOKUP(CM8,教师安排!$A:$Y,CM$2+1,FALSE),"")</f>
        <v/>
      </c>
      <c r="CN9" s="126" t="str">
        <f>IFERROR(VLOOKUP(CN8,教师安排!$A:$Y,CN$2+1,FALSE),"")</f>
        <v/>
      </c>
      <c r="CO9" s="126" t="str">
        <f>IFERROR(VLOOKUP(CO8,教师安排!$A:$Y,CO$2+1,FALSE),"")</f>
        <v/>
      </c>
      <c r="CP9" s="126" t="str">
        <f>IFERROR(VLOOKUP(CP8,教师安排!$A:$Y,CP$2+1,FALSE),"")</f>
        <v>王灼</v>
      </c>
      <c r="CQ9" s="126" t="str">
        <f>IFERROR(VLOOKUP(CQ8,教师安排!$A:$Y,CQ$2+1,FALSE),"")</f>
        <v>韩丽梅</v>
      </c>
      <c r="CR9" s="126" t="str">
        <f>IFERROR(VLOOKUP(CR8,教师安排!$A:$Y,CR$2+1,FALSE),"")</f>
        <v>宋平</v>
      </c>
      <c r="CS9" s="126" t="str">
        <f>IFERROR(VLOOKUP(CS8,教师安排!$A:$Y,CS$2+1,FALSE),"")</f>
        <v>翟淑玮</v>
      </c>
      <c r="CT9" s="126" t="str">
        <f>IFERROR(VLOOKUP(CT8,教师安排!$A:$Y,CT$2+1,FALSE),"")</f>
        <v>胡存想</v>
      </c>
      <c r="CU9" s="125" t="str">
        <f>IFERROR(VLOOKUP(CU8,教师安排!$A:$Y,CU$2+1,FALSE),"")</f>
        <v>马崇庆</v>
      </c>
      <c r="CV9" s="125" t="str">
        <f>IFERROR(VLOOKUP(CV8,教师安排!$A:$Y,CV$2+1,FALSE),"")</f>
        <v>史振塞</v>
      </c>
      <c r="CW9" s="125" t="str">
        <f>IFERROR(VLOOKUP(CW8,教师安排!$A:$Y,CW$2+1,FALSE),"")</f>
        <v>李会玲</v>
      </c>
      <c r="CX9" s="125" t="str">
        <f>IFERROR(VLOOKUP(CX8,教师安排!$A:$Y,CX$2+1,FALSE),"")</f>
        <v>周兴玲</v>
      </c>
      <c r="CY9" s="125" t="str">
        <f>IFERROR(VLOOKUP(CY8,教师安排!$A:$Y,CY$2+1,FALSE),"")</f>
        <v>孙存义</v>
      </c>
      <c r="CZ9" s="125" t="str">
        <f>IFERROR(VLOOKUP(CZ8,教师安排!$A:$Y,CZ$2+1,FALSE),"")</f>
        <v>蒋心言</v>
      </c>
      <c r="DA9" s="125" t="str">
        <f>IFERROR(VLOOKUP(DA8,教师安排!$A:$Y,DA$2+1,FALSE),"")</f>
        <v>王雪莲</v>
      </c>
      <c r="DB9" s="125" t="str">
        <f>IFERROR(VLOOKUP(DB8,教师安排!$A:$Y,DB$2+1,FALSE),"")</f>
        <v>路睿</v>
      </c>
      <c r="DC9" s="125" t="str">
        <f>IFERROR(VLOOKUP(DC8,教师安排!$A:$Y,DC$2+1,FALSE),"")</f>
        <v>王灼</v>
      </c>
      <c r="DD9" s="125" t="str">
        <f>IFERROR(VLOOKUP(DD8,教师安排!$A:$Y,DD$2+1,FALSE),"")</f>
        <v>胡存想</v>
      </c>
      <c r="DE9" s="125" t="str">
        <f>IFERROR(VLOOKUP(DE8,教师安排!$A:$Y,DE$2+1,FALSE),"")</f>
        <v>孙锦锦</v>
      </c>
      <c r="DF9" s="125" t="str">
        <f>IFERROR(VLOOKUP(DF8,教师安排!$A:$Y,DF$2+1,FALSE),"")</f>
        <v>孙显阳</v>
      </c>
      <c r="DG9" s="125" t="str">
        <f>IFERROR(VLOOKUP(DG8,教师安排!$A:$Y,DG$2+1,FALSE),"")</f>
        <v>袁奇</v>
      </c>
      <c r="DH9" s="125" t="str">
        <f>IFERROR(VLOOKUP(DH8,教师安排!$A:$Y,DH$2+1,FALSE),"")</f>
        <v>刘天骄</v>
      </c>
      <c r="DI9" s="125" t="str">
        <f>IFERROR(VLOOKUP(DI8,教师安排!$A:$Y,DI$2+1,FALSE),"")</f>
        <v>孙秋杰</v>
      </c>
      <c r="DJ9" s="125" t="str">
        <f>IFERROR(VLOOKUP(DJ8,教师安排!$A:$Y,DJ$2+1,FALSE),"")</f>
        <v/>
      </c>
      <c r="DK9" s="125" t="str">
        <f>IFERROR(VLOOKUP(DK8,教师安排!$A:$Y,DK$2+1,FALSE),"")</f>
        <v/>
      </c>
      <c r="DL9" s="125" t="str">
        <f>IFERROR(VLOOKUP(DL8,教师安排!$A:$Y,DL$2+1,FALSE),"")</f>
        <v/>
      </c>
      <c r="DM9" s="125" t="str">
        <f>IFERROR(VLOOKUP(DM8,教师安排!$A:$Y,DM$2+1,FALSE),"")</f>
        <v/>
      </c>
      <c r="DN9" s="125"/>
      <c r="DO9" s="125" t="str">
        <f>IFERROR(VLOOKUP(DO8,教师安排!$A:$Y,DO$2+1,FALSE),"")</f>
        <v/>
      </c>
      <c r="DP9" s="125" t="str">
        <f>IFERROR(VLOOKUP(DP8,教师安排!$A:$Y,DP$2+1,FALSE),"")</f>
        <v/>
      </c>
      <c r="DQ9" s="125" t="str">
        <f>IFERROR(VLOOKUP(DQ8,教师安排!$A:$Y,DQ$2+1,FALSE),"")</f>
        <v/>
      </c>
      <c r="DR9" s="125" t="str">
        <f>IFERROR(VLOOKUP(DR8,教师安排!$A:$Y,DR$2+1,FALSE),"")</f>
        <v/>
      </c>
      <c r="DS9" s="124" t="str">
        <f>IFERROR(VLOOKUP(DS8,教师安排!$A:$Y,DS$2+1,FALSE),"")</f>
        <v>侯淑贤</v>
      </c>
      <c r="DT9" s="124" t="str">
        <f>IFERROR(VLOOKUP(DT8,教师安排!$A:$Y,DT$2+1,FALSE),"")</f>
        <v>姚来朋</v>
      </c>
      <c r="DU9" s="124" t="str">
        <f>IFERROR(VLOOKUP(DU8,教师安排!$A:$Y,DU$2+1,FALSE),"")</f>
        <v>周兴玲</v>
      </c>
      <c r="DV9" s="124" t="str">
        <f>IFERROR(VLOOKUP(DV8,教师安排!$A:$Y,DV$2+1,FALSE),"")</f>
        <v>马崇庆</v>
      </c>
      <c r="DW9" s="124" t="str">
        <f>IFERROR(VLOOKUP(DW8,教师安排!$A:$Y,DW$2+1,FALSE),"")</f>
        <v>孙存义</v>
      </c>
      <c r="DX9" s="124" t="str">
        <f>IFERROR(VLOOKUP(DX8,教师安排!$A:$Y,DX$2+1,FALSE),"")</f>
        <v>姜媛媛</v>
      </c>
      <c r="DY9" s="124" t="str">
        <f>IFERROR(VLOOKUP(DY8,教师安排!$A:$Y,DY$2+1,FALSE),"")</f>
        <v>韩丽梅</v>
      </c>
      <c r="DZ9" s="124" t="str">
        <f>IFERROR(VLOOKUP(DZ8,教师安排!$A:$Y,DZ$2+1,FALSE),"")</f>
        <v>高文凤</v>
      </c>
      <c r="EA9" s="124" t="str">
        <f>IFERROR(VLOOKUP(EA8,教师安排!$A:$Y,EA$2+1,FALSE),"")</f>
        <v>赵雪敏</v>
      </c>
      <c r="EB9" s="124" t="str">
        <f>IFERROR(VLOOKUP(EB8,教师安排!$A:$Y,EB$2+1,FALSE),"")</f>
        <v>胡存想</v>
      </c>
      <c r="EC9" s="124" t="str">
        <f>IFERROR(VLOOKUP(EC8,教师安排!$A:$Y,EC$2+1,FALSE),"")</f>
        <v>范林林</v>
      </c>
      <c r="ED9" s="124" t="str">
        <f>IFERROR(VLOOKUP(ED8,教师安排!$A:$Y,ED$2+1,FALSE),"")</f>
        <v>王雪莲</v>
      </c>
      <c r="EE9" s="124" t="str">
        <f>IFERROR(VLOOKUP(EE8,教师安排!$A:$Y,EE$2+1,FALSE),"")</f>
        <v>夏文杰</v>
      </c>
      <c r="EF9" s="124" t="str">
        <f>IFERROR(VLOOKUP(EF8,教师安排!$A:$Y,EF$2+1,FALSE),"")</f>
        <v>孙锦锦</v>
      </c>
      <c r="EG9" s="124" t="str">
        <f>IFERROR(VLOOKUP(EG8,教师安排!$A:$Y,EG$2+1,FALSE),"")</f>
        <v>孙秋杰</v>
      </c>
      <c r="EH9" s="124" t="str">
        <f>IFERROR(VLOOKUP(EH8,教师安排!$A:$Y,EH$2+1,FALSE),"")</f>
        <v/>
      </c>
      <c r="EI9" s="124" t="str">
        <f>IFERROR(VLOOKUP(EI8,教师安排!$A:$Y,EI$2+1,FALSE),"")</f>
        <v/>
      </c>
      <c r="EJ9" s="124" t="str">
        <f>IFERROR(VLOOKUP(EJ8,教师安排!$A:$Y,EJ$2+1,FALSE),"")</f>
        <v/>
      </c>
      <c r="EK9" s="124" t="str">
        <f>IFERROR(VLOOKUP(EK8,教师安排!$A:$Y,EK$2+1,FALSE),"")</f>
        <v/>
      </c>
      <c r="EL9" s="124"/>
      <c r="EM9" s="124" t="str">
        <f>IFERROR(VLOOKUP(EM8,教师安排!$A:$Y,EM$2+1,FALSE),"")</f>
        <v/>
      </c>
      <c r="EN9" s="124" t="str">
        <f>IFERROR(VLOOKUP(EN8,教师安排!$A:$Y,EN$2+1,FALSE),"")</f>
        <v/>
      </c>
      <c r="EO9" s="124" t="str">
        <f>IFERROR(VLOOKUP(EO8,教师安排!$A:$Y,EO$2+1,FALSE),"")</f>
        <v/>
      </c>
      <c r="EP9" s="124" t="str">
        <f>IFERROR(VLOOKUP(EP8,教师安排!$A:$Y,EP$2+1,FALSE),"")</f>
        <v/>
      </c>
      <c r="EQ9" s="123" t="str">
        <f>IFERROR(VLOOKUP(EQ8,教师安排!$A:$Y,EQ$2+1,FALSE),"")</f>
        <v>杨彬</v>
      </c>
      <c r="ER9" s="123" t="str">
        <f>IFERROR(VLOOKUP(ER8,教师安排!$A:$Y,ER$2+1,FALSE),"")</f>
        <v>李会玲</v>
      </c>
      <c r="ES9" s="123" t="str">
        <f>IFERROR(VLOOKUP(ES8,教师安排!$A:$Y,ES$2+1,FALSE),"")</f>
        <v>张雨晴</v>
      </c>
      <c r="ET9" s="123" t="str">
        <f>IFERROR(VLOOKUP(ET8,教师安排!$A:$Y,ET$2+1,FALSE),"")</f>
        <v>史振塞</v>
      </c>
      <c r="EU9" s="123" t="str">
        <f>IFERROR(VLOOKUP(EU8,教师安排!$A:$Y,EU$2+1,FALSE),"")</f>
        <v>孙存义</v>
      </c>
      <c r="EV9" s="123" t="str">
        <f>IFERROR(VLOOKUP(EV8,教师安排!$A:$Y,EV$2+1,FALSE),"")</f>
        <v>蒋心言</v>
      </c>
      <c r="EW9" s="123" t="str">
        <f>IFERROR(VLOOKUP(EW8,教师安排!$A:$Y,EW$2+1,FALSE),"")</f>
        <v>孙锦锦</v>
      </c>
      <c r="EX9" s="123" t="str">
        <f>IFERROR(VLOOKUP(EX8,教师安排!$A:$Y,EX$2+1,FALSE),"")</f>
        <v>孙秋杰</v>
      </c>
      <c r="EY9" s="123" t="str">
        <f>IFERROR(VLOOKUP(EY8,教师安排!$A:$Y,EY$2+1,FALSE),"")</f>
        <v>王硕</v>
      </c>
      <c r="EZ9" s="123" t="str">
        <f>IFERROR(VLOOKUP(EZ8,教师安排!$A:$Y,EZ$2+1,FALSE),"")</f>
        <v>董艳华</v>
      </c>
      <c r="FA9" s="123" t="str">
        <f>IFERROR(VLOOKUP(FA8,教师安排!$A:$Y,FA$2+1,FALSE),"")</f>
        <v>王/宋/翟/胡</v>
      </c>
      <c r="FB9" s="123" t="str">
        <f>IFERROR(VLOOKUP(FB8,教师安排!$A:$Y,FB$2+1,FALSE),"")</f>
        <v>韩/宋/翟/胡</v>
      </c>
      <c r="FC9" s="123" t="str">
        <f>IFERROR(VLOOKUP(FC8,教师安排!$A:$Y,FC$2+1,FALSE),"")</f>
        <v>宋/韩/王</v>
      </c>
      <c r="FD9" s="123" t="str">
        <f>IFERROR(VLOOKUP(FD8,教师安排!$A:$Y,FD$2+1,FALSE),"")</f>
        <v>翟/韩/王</v>
      </c>
      <c r="FE9" s="123" t="str">
        <f>IFERROR(VLOOKUP(FE8,教师安排!$A:$Y,FE$2+1,FALSE),"")</f>
        <v>胡/韩/王</v>
      </c>
      <c r="FF9" s="123" t="str">
        <f>IFERROR(VLOOKUP(FF8,教师安排!$A:$Y,FF$2+1,FALSE),"")</f>
        <v/>
      </c>
      <c r="FG9" s="123" t="str">
        <f>IFERROR(VLOOKUP(FG8,教师安排!$A:$Y,FG$2+1,FALSE),"")</f>
        <v/>
      </c>
      <c r="FH9" s="123" t="str">
        <f>IFERROR(VLOOKUP(FH8,教师安排!$A:$Y,FH$2+1,FALSE),"")</f>
        <v/>
      </c>
      <c r="FI9" s="123" t="str">
        <f>IFERROR(VLOOKUP(FI8,教师安排!$A:$Y,FI$2+1,FALSE),"")</f>
        <v/>
      </c>
      <c r="FJ9" s="123" t="str">
        <f>IFERROR(VLOOKUP(FJ8,教师安排!$A:$Y,FJ$2+1,FALSE),"")</f>
        <v>王灼</v>
      </c>
      <c r="FK9" s="123" t="str">
        <f>IFERROR(VLOOKUP(FK8,教师安排!$A:$Y,FK$2+1,FALSE),"")</f>
        <v>韩丽梅</v>
      </c>
      <c r="FL9" s="123" t="str">
        <f>IFERROR(VLOOKUP(FL8,教师安排!$A:$Y,FL$2+1,FALSE),"")</f>
        <v>宋平</v>
      </c>
      <c r="FM9" s="123" t="str">
        <f>IFERROR(VLOOKUP(FM8,教师安排!$A:$Y,FM$2+1,FALSE),"")</f>
        <v>翟淑玮</v>
      </c>
      <c r="FN9" s="123" t="str">
        <f>IFERROR(VLOOKUP(FN8,教师安排!$A:$Y,FN$2+1,FALSE),"")</f>
        <v>胡存想</v>
      </c>
      <c r="FO9" s="126" t="str">
        <f>IFERROR(VLOOKUP(FO8,教师安排!$A:$Y,FO$2+1,FALSE),"")</f>
        <v>王庆超</v>
      </c>
      <c r="FP9" s="126" t="str">
        <f>IFERROR(VLOOKUP(FP8,教师安排!$A:$Y,FP$2+1,FALSE),"")</f>
        <v>刘珊珊</v>
      </c>
      <c r="FQ9" s="126" t="str">
        <f>IFERROR(VLOOKUP(FQ8,教师安排!$A:$Y,FQ$2+1,FALSE),"")</f>
        <v>李雯</v>
      </c>
      <c r="FR9" s="126" t="str">
        <f>IFERROR(VLOOKUP(FR8,教师安排!$A:$Y,FR$2+1,FALSE),"")</f>
        <v>周兴玲</v>
      </c>
      <c r="FS9" s="126" t="str">
        <f>IFERROR(VLOOKUP(FS8,教师安排!$A:$Y,FS$2+1,FALSE),"")</f>
        <v>李振铎</v>
      </c>
      <c r="FT9" s="126" t="str">
        <f>IFERROR(VLOOKUP(FT8,教师安排!$A:$Y,FT$2+1,FALSE),"")</f>
        <v>刘天骄</v>
      </c>
      <c r="FU9" s="126" t="str">
        <f>IFERROR(VLOOKUP(FU8,教师安排!$A:$Y,FU$2+1,FALSE),"")</f>
        <v>韩丽梅</v>
      </c>
      <c r="FV9" s="126" t="str">
        <f>IFERROR(VLOOKUP(FV8,教师安排!$A:$Y,FV$2+1,FALSE),"")</f>
        <v>宋平</v>
      </c>
      <c r="FW9" s="126" t="str">
        <f>IFERROR(VLOOKUP(FW8,教师安排!$A:$Y,FW$2+1,FALSE),"")</f>
        <v>刘腾</v>
      </c>
      <c r="FX9" s="126" t="str">
        <f>IFERROR(VLOOKUP(FX8,教师安排!$A:$Y,FX$2+1,FALSE),"")</f>
        <v>孙显阳</v>
      </c>
      <c r="FY9" s="126" t="str">
        <f>IFERROR(VLOOKUP(FY8,教师安排!$A:$Y,FY$2+1,FALSE),"")</f>
        <v>田凤美</v>
      </c>
      <c r="FZ9" s="126" t="str">
        <f>IFERROR(VLOOKUP(FZ8,教师安排!$A:$Y,FZ$2+1,FALSE),"")</f>
        <v>孙娜</v>
      </c>
      <c r="GA9" s="126" t="str">
        <f>IFERROR(VLOOKUP(GA8,教师安排!$A:$Y,GA$2+1,FALSE),"")</f>
        <v>王硕</v>
      </c>
      <c r="GB9" s="126" t="str">
        <f>IFERROR(VLOOKUP(GB8,教师安排!$A:$Y,GB$2+1,FALSE),"")</f>
        <v>董艳华</v>
      </c>
      <c r="GC9" s="126" t="str">
        <f>IFERROR(VLOOKUP(GC8,教师安排!$A:$Y,GC$2+1,FALSE),"")</f>
        <v>张鑫</v>
      </c>
      <c r="GD9" s="126" t="str">
        <f>IFERROR(VLOOKUP(GD8,教师安排!$A:$Y,GD$2+1,FALSE),"")</f>
        <v/>
      </c>
      <c r="GE9" s="126" t="str">
        <f>IFERROR(VLOOKUP(GE8,教师安排!$A:$Y,GE$2+1,FALSE),"")</f>
        <v/>
      </c>
      <c r="GF9" s="126" t="str">
        <f>IFERROR(VLOOKUP(GF8,教师安排!$A:$Y,GF$2+1,FALSE),"")</f>
        <v/>
      </c>
      <c r="GG9" s="126" t="str">
        <f>IFERROR(VLOOKUP(GG8,教师安排!$A:$Y,GG$2+1,FALSE),"")</f>
        <v/>
      </c>
      <c r="GH9" s="126"/>
      <c r="GI9" s="126" t="str">
        <f>IFERROR(VLOOKUP(GI8,教师安排!$A:$Y,GI$2+1,FALSE),"")</f>
        <v/>
      </c>
      <c r="GJ9" s="126" t="str">
        <f>IFERROR(VLOOKUP(GJ8,教师安排!$A:$Y,GJ$2+1,FALSE),"")</f>
        <v/>
      </c>
      <c r="GK9" s="126" t="str">
        <f>IFERROR(VLOOKUP(GK8,教师安排!$A:$Y,GK$2+1,FALSE),"")</f>
        <v/>
      </c>
      <c r="GL9" s="126" t="str">
        <f>IFERROR(VLOOKUP(GL8,教师安排!$A:$Y,GL$2+1,FALSE),"")</f>
        <v/>
      </c>
      <c r="GM9" s="125" t="str">
        <f>IFERROR(VLOOKUP(GM8,教师安排!$A:$Y,GM$2+1,FALSE),"")</f>
        <v>马崇庆</v>
      </c>
      <c r="GN9" s="125" t="str">
        <f>IFERROR(VLOOKUP(GN8,教师安排!$A:$Y,GN$2+1,FALSE),"")</f>
        <v>史振塞</v>
      </c>
      <c r="GO9" s="125" t="str">
        <f>IFERROR(VLOOKUP(GO8,教师安排!$A:$Y,GO$2+1,FALSE),"")</f>
        <v>王庆超</v>
      </c>
      <c r="GP9" s="125" t="str">
        <f>IFERROR(VLOOKUP(GP8,教师安排!$A:$Y,GP$2+1,FALSE),"")</f>
        <v>李冰慧</v>
      </c>
      <c r="GQ9" s="125" t="str">
        <f>IFERROR(VLOOKUP(GQ8,教师安排!$A:$Y,GQ$2+1,FALSE),"")</f>
        <v>袁奇</v>
      </c>
      <c r="GR9" s="125" t="str">
        <f>IFERROR(VLOOKUP(GR8,教师安排!$A:$Y,GR$2+1,FALSE),"")</f>
        <v>孙存义</v>
      </c>
      <c r="GS9" s="125" t="str">
        <f>IFERROR(VLOOKUP(GS8,教师安排!$A:$Y,GS$2+1,FALSE),"")</f>
        <v>孙锦锦</v>
      </c>
      <c r="GT9" s="125" t="str">
        <f>IFERROR(VLOOKUP(GT8,教师安排!$A:$Y,GT$2+1,FALSE),"")</f>
        <v>路睿</v>
      </c>
      <c r="GU9" s="125" t="str">
        <f>IFERROR(VLOOKUP(GU8,教师安排!$A:$Y,GU$2+1,FALSE),"")</f>
        <v>田凤美</v>
      </c>
      <c r="GV9" s="125" t="str">
        <f>IFERROR(VLOOKUP(GV8,教师安排!$A:$Y,GV$2+1,FALSE),"")</f>
        <v>孙显阳</v>
      </c>
      <c r="GW9" s="125" t="str">
        <f>IFERROR(VLOOKUP(GW8,教师安排!$A:$Y,GW$2+1,FALSE),"")</f>
        <v>王/宋/翟/胡</v>
      </c>
      <c r="GX9" s="125" t="str">
        <f>IFERROR(VLOOKUP(GX8,教师安排!$A:$Y,GX$2+1,FALSE),"")</f>
        <v>韩/宋/翟/胡</v>
      </c>
      <c r="GY9" s="125" t="str">
        <f>IFERROR(VLOOKUP(GY8,教师安排!$A:$Y,GY$2+1,FALSE),"")</f>
        <v>宋/韩/王</v>
      </c>
      <c r="GZ9" s="125" t="str">
        <f>IFERROR(VLOOKUP(GZ8,教师安排!$A:$Y,GZ$2+1,FALSE),"")</f>
        <v>翟/韩/王</v>
      </c>
      <c r="HA9" s="125" t="str">
        <f>IFERROR(VLOOKUP(HA8,教师安排!$A:$Y,HA$2+1,FALSE),"")</f>
        <v>胡/韩/王</v>
      </c>
      <c r="HB9" s="125" t="str">
        <f>IFERROR(VLOOKUP(HB8,教师安排!$A:$Y,HB$2+1,FALSE),"")</f>
        <v/>
      </c>
      <c r="HC9" s="125" t="str">
        <f>IFERROR(VLOOKUP(HC8,教师安排!$A:$Y,HC$2+1,FALSE),"")</f>
        <v/>
      </c>
      <c r="HD9" s="125" t="str">
        <f>IFERROR(VLOOKUP(HD8,教师安排!$A:$Y,HD$2+1,FALSE),"")</f>
        <v/>
      </c>
      <c r="HE9" s="125" t="str">
        <f>IFERROR(VLOOKUP(HE8,教师安排!$A:$Y,HE$2+1,FALSE),"")</f>
        <v/>
      </c>
      <c r="HF9" s="125" t="str">
        <f>IFERROR(VLOOKUP(HF8,教师安排!$A:$Y,HF$2+1,FALSE),"")</f>
        <v>王灼</v>
      </c>
      <c r="HG9" s="125" t="str">
        <f>IFERROR(VLOOKUP(HG8,教师安排!$A:$Y,HG$2+1,FALSE),"")</f>
        <v>韩丽梅</v>
      </c>
      <c r="HH9" s="125" t="str">
        <f>IFERROR(VLOOKUP(HH8,教师安排!$A:$Y,HH$2+1,FALSE),"")</f>
        <v>宋平</v>
      </c>
      <c r="HI9" s="125" t="str">
        <f>IFERROR(VLOOKUP(HI8,教师安排!$A:$Y,HI$2+1,FALSE),"")</f>
        <v>翟淑玮</v>
      </c>
      <c r="HJ9" s="125" t="str">
        <f>IFERROR(VLOOKUP(HJ8,教师安排!$A:$Y,HJ$2+1,FALSE),"")</f>
        <v>胡存想</v>
      </c>
      <c r="HK9" s="126" t="str">
        <f>IFERROR(VLOOKUP(HK8,教师安排!$A:$Y,HK$2+1,FALSE),"")</f>
        <v>刘珊珊</v>
      </c>
      <c r="HL9" s="126" t="str">
        <f>IFERROR(VLOOKUP(HL8,教师安排!$A:$Y,HL$2+1,FALSE),"")</f>
        <v>田凤美</v>
      </c>
      <c r="HM9" s="126" t="str">
        <f>IFERROR(VLOOKUP(HM8,教师安排!$A:$Y,HM$2+1,FALSE),"")</f>
        <v>姚来朋</v>
      </c>
      <c r="HN9" s="126" t="str">
        <f>IFERROR(VLOOKUP(HN8,教师安排!$A:$Y,HN$2+1,FALSE),"")</f>
        <v>侯淑贤</v>
      </c>
      <c r="HO9" s="126" t="str">
        <f>IFERROR(VLOOKUP(HO8,教师安排!$A:$Y,HO$2+1,FALSE),"")</f>
        <v>刘腾</v>
      </c>
      <c r="HP9" s="126" t="str">
        <f>IFERROR(VLOOKUP(HP8,教师安排!$A:$Y,HP$2+1,FALSE),"")</f>
        <v>李振铎</v>
      </c>
      <c r="HQ9" s="126" t="str">
        <f>IFERROR(VLOOKUP(HQ8,教师安排!$A:$Y,HQ$2+1,FALSE),"")</f>
        <v>孙存义</v>
      </c>
      <c r="HR9" s="126" t="str">
        <f>IFERROR(VLOOKUP(HR8,教师安排!$A:$Y,HR$2+1,FALSE),"")</f>
        <v>孙秋杰</v>
      </c>
      <c r="HS9" s="126" t="str">
        <f>IFERROR(VLOOKUP(HS8,教师安排!$A:$Y,HS$2+1,FALSE),"")</f>
        <v>王硕</v>
      </c>
      <c r="HT9" s="126" t="str">
        <f>IFERROR(VLOOKUP(HT8,教师安排!$A:$Y,HT$2+1,FALSE),"")</f>
        <v>王菲</v>
      </c>
      <c r="HU9" s="126" t="str">
        <f>IFERROR(VLOOKUP(HU8,教师安排!$A:$Y,HU$2+1,FALSE),"")</f>
        <v>孙显阳</v>
      </c>
      <c r="HV9" s="126" t="str">
        <f>IFERROR(VLOOKUP(HV8,教师安排!$A:$Y,HV$2+1,FALSE),"")</f>
        <v>张鑫</v>
      </c>
      <c r="HW9" s="126" t="str">
        <f>IFERROR(VLOOKUP(HW8,教师安排!$A:$Y,HW$2+1,FALSE),"")</f>
        <v>范林林</v>
      </c>
      <c r="HX9" s="126" t="str">
        <f>IFERROR(VLOOKUP(HX8,教师安排!$A:$Y,HX$2+1,FALSE),"")</f>
        <v>刘天骄</v>
      </c>
      <c r="HY9" s="126" t="str">
        <f>IFERROR(VLOOKUP(HY8,教师安排!$A:$Y,HY$2+1,FALSE),"")</f>
        <v>路睿</v>
      </c>
      <c r="HZ9" s="126" t="str">
        <f>IFERROR(VLOOKUP(HZ8,教师安排!$A:$Y,HZ$2+1,FALSE),"")</f>
        <v/>
      </c>
      <c r="IA9" s="126" t="str">
        <f>IFERROR(VLOOKUP(IA8,教师安排!$A:$Y,IA$2+1,FALSE),"")</f>
        <v/>
      </c>
      <c r="IB9" s="126" t="str">
        <f>IFERROR(VLOOKUP(IB8,教师安排!$A:$Y,IB$2+1,FALSE),"")</f>
        <v/>
      </c>
      <c r="IC9" s="126" t="str">
        <f>IFERROR(VLOOKUP(IC8,教师安排!$A:$Y,IC$2+1,FALSE),"")</f>
        <v/>
      </c>
      <c r="ID9" s="126"/>
      <c r="IE9" s="126" t="str">
        <f>IFERROR(VLOOKUP(IE8,教师安排!$A:$Y,IE$2+1,FALSE),"")</f>
        <v/>
      </c>
      <c r="IF9" s="126" t="str">
        <f>IFERROR(VLOOKUP(IF8,教师安排!$A:$Y,IF$2+1,FALSE),"")</f>
        <v/>
      </c>
      <c r="IG9" s="126" t="str">
        <f>IFERROR(VLOOKUP(IG8,教师安排!$A:$Y,IG$2+1,FALSE),"")</f>
        <v/>
      </c>
      <c r="IH9" s="126" t="str">
        <f>IFERROR(VLOOKUP(IH8,教师安排!$A:$Y,IH$2+1,FALSE),"")</f>
        <v/>
      </c>
      <c r="II9" s="125" t="str">
        <f>IFERROR(VLOOKUP(II8,教师安排!$A:$Y,II$2+1,FALSE),"")</f>
        <v>刘珊珊</v>
      </c>
      <c r="IJ9" s="125" t="str">
        <f>IFERROR(VLOOKUP(IJ8,教师安排!$A:$Y,IJ$2+1,FALSE),"")</f>
        <v>周兴玲</v>
      </c>
      <c r="IK9" s="125" t="str">
        <f>IFERROR(VLOOKUP(IK8,教师安排!$A:$Y,IK$2+1,FALSE),"")</f>
        <v>张雯皓</v>
      </c>
      <c r="IL9" s="125" t="str">
        <f>IFERROR(VLOOKUP(IL8,教师安排!$A:$Y,IL$2+1,FALSE),"")</f>
        <v>侯淑贤</v>
      </c>
      <c r="IM9" s="125" t="str">
        <f>IFERROR(VLOOKUP(IM8,教师安排!$A:$Y,IM$2+1,FALSE),"")</f>
        <v>赵雪敏</v>
      </c>
      <c r="IN9" s="125" t="str">
        <f>IFERROR(VLOOKUP(IN8,教师安排!$A:$Y,IN$2+1,FALSE),"")</f>
        <v>李振铎</v>
      </c>
      <c r="IO9" s="125" t="str">
        <f>IFERROR(VLOOKUP(IO8,教师安排!$A:$Y,IO$2+1,FALSE),"")</f>
        <v>王雪莲</v>
      </c>
      <c r="IP9" s="125" t="str">
        <f>IFERROR(VLOOKUP(IP8,教师安排!$A:$Y,IP$2+1,FALSE),"")</f>
        <v>高文凤</v>
      </c>
      <c r="IQ9" s="125" t="str">
        <f>IFERROR(VLOOKUP(IQ8,教师安排!$A:$Y,IQ$2+1,FALSE),"")</f>
        <v>张冰雪</v>
      </c>
      <c r="IR9" s="125" t="str">
        <f>IFERROR(VLOOKUP(IR8,教师安排!$A:$Y,IR$2+1,FALSE),"")</f>
        <v>王菲</v>
      </c>
      <c r="IS9" s="125" t="str">
        <f>IFERROR(VLOOKUP(IS8,教师安排!$A:$Y,IS$2+1,FALSE),"")</f>
        <v>王/宋/翟/胡</v>
      </c>
      <c r="IT9" s="125" t="str">
        <f>IFERROR(VLOOKUP(IT8,教师安排!$A:$Y,IT$2+1,FALSE),"")</f>
        <v>韩/宋/翟/胡</v>
      </c>
      <c r="IU9" s="125" t="str">
        <f>IFERROR(VLOOKUP(IU8,教师安排!$A:$Y,IU$2+1,FALSE),"")</f>
        <v>宋/韩/王</v>
      </c>
      <c r="IV9" s="125" t="str">
        <f>IFERROR(VLOOKUP(IV8,教师安排!$A:$Y,IV$2+1,FALSE),"")</f>
        <v>翟/韩/王</v>
      </c>
      <c r="IW9" s="125" t="str">
        <f>IFERROR(VLOOKUP(IW8,教师安排!$A:$Y,IW$2+1,FALSE),"")</f>
        <v>胡/韩/王</v>
      </c>
      <c r="IX9" s="125" t="str">
        <f>IFERROR(VLOOKUP(IX8,教师安排!$A:$Y,IX$2+1,FALSE),"")</f>
        <v/>
      </c>
      <c r="IY9" s="125" t="str">
        <f>IFERROR(VLOOKUP(IY8,教师安排!$A:$Y,IY$2+1,FALSE),"")</f>
        <v/>
      </c>
      <c r="IZ9" s="125" t="str">
        <f>IFERROR(VLOOKUP(IZ8,教师安排!$A:$Y,IZ$2+1,FALSE),"")</f>
        <v/>
      </c>
      <c r="JA9" s="125" t="str">
        <f>IFERROR(VLOOKUP(JA8,教师安排!$A:$Y,JA$2+1,FALSE),"")</f>
        <v/>
      </c>
      <c r="JB9" s="125" t="str">
        <f>IFERROR(VLOOKUP(JB8,教师安排!$A:$Y,JB$2+1,FALSE),"")</f>
        <v>王灼</v>
      </c>
      <c r="JC9" s="125" t="str">
        <f>IFERROR(VLOOKUP(JC8,教师安排!$A:$Y,JC$2+1,FALSE),"")</f>
        <v>韩丽梅</v>
      </c>
      <c r="JD9" s="125" t="str">
        <f>IFERROR(VLOOKUP(JD8,教师安排!$A:$Y,JD$2+1,FALSE),"")</f>
        <v>宋平</v>
      </c>
      <c r="JE9" s="125" t="str">
        <f>IFERROR(VLOOKUP(JE8,教师安排!$A:$Y,JE$2+1,FALSE),"")</f>
        <v>翟淑玮</v>
      </c>
      <c r="JF9" s="125" t="str">
        <f>IFERROR(VLOOKUP(JF8,教师安排!$A:$Y,JF$2+1,FALSE),"")</f>
        <v>胡存想</v>
      </c>
      <c r="JG9" s="126" t="str">
        <f>IFERROR(VLOOKUP(JG8,教师安排!$A:$Y,JG$2+1,FALSE),"")</f>
        <v>马崇庆</v>
      </c>
      <c r="JH9" s="126" t="str">
        <f>IFERROR(VLOOKUP(JH8,教师安排!$A:$Y,JH$2+1,FALSE),"")</f>
        <v>史振塞</v>
      </c>
      <c r="JI9" s="126" t="str">
        <f>IFERROR(VLOOKUP(JI8,教师安排!$A:$Y,JI$2+1,FALSE),"")</f>
        <v>姚来朋</v>
      </c>
      <c r="JJ9" s="126" t="str">
        <f>IFERROR(VLOOKUP(JJ8,教师安排!$A:$Y,JJ$2+1,FALSE),"")</f>
        <v>李会玲</v>
      </c>
      <c r="JK9" s="126" t="str">
        <f>IFERROR(VLOOKUP(JK8,教师安排!$A:$Y,JK$2+1,FALSE),"")</f>
        <v>孙存义</v>
      </c>
      <c r="JL9" s="126" t="str">
        <f>IFERROR(VLOOKUP(JL8,教师安排!$A:$Y,JL$2+1,FALSE),"")</f>
        <v>蒋心言</v>
      </c>
      <c r="JM9" s="126" t="str">
        <f>IFERROR(VLOOKUP(JM8,教师安排!$A:$Y,JM$2+1,FALSE),"")</f>
        <v>王雪莲</v>
      </c>
      <c r="JN9" s="126" t="str">
        <f>IFERROR(VLOOKUP(JN8,教师安排!$A:$Y,JN$2+1,FALSE),"")</f>
        <v>路睿</v>
      </c>
      <c r="JO9" s="126" t="str">
        <f>IFERROR(VLOOKUP(JO8,教师安排!$A:$Y,JO$2+1,FALSE),"")</f>
        <v>王灼</v>
      </c>
      <c r="JP9" s="126" t="str">
        <f>IFERROR(VLOOKUP(JP8,教师安排!$A:$Y,JP$2+1,FALSE),"")</f>
        <v>胡存想</v>
      </c>
      <c r="JQ9" s="126" t="str">
        <f>IFERROR(VLOOKUP(JQ8,教师安排!$A:$Y,JQ$2+1,FALSE),"")</f>
        <v>孙显阳</v>
      </c>
      <c r="JR9" s="126" t="str">
        <f>IFERROR(VLOOKUP(JR8,教师安排!$A:$Y,JR$2+1,FALSE),"")</f>
        <v>张鑫</v>
      </c>
      <c r="JS9" s="126" t="str">
        <f>IFERROR(VLOOKUP(JS8,教师安排!$A:$Y,JS$2+1,FALSE),"")</f>
        <v>袁奇</v>
      </c>
      <c r="JT9" s="126" t="str">
        <f>IFERROR(VLOOKUP(JT8,教师安排!$A:$Y,JT$2+1,FALSE),"")</f>
        <v>刘天骄</v>
      </c>
      <c r="JU9" s="126" t="str">
        <f>IFERROR(VLOOKUP(JU8,教师安排!$A:$Y,JU$2+1,FALSE),"")</f>
        <v>孙秋杰</v>
      </c>
      <c r="JV9" s="126" t="str">
        <f>IFERROR(VLOOKUP(JV8,教师安排!$A:$Y,JV$2+1,FALSE),"")</f>
        <v/>
      </c>
      <c r="JW9" s="126" t="str">
        <f>IFERROR(VLOOKUP(JW8,教师安排!$A:$Y,JW$2+1,FALSE),"")</f>
        <v/>
      </c>
      <c r="JX9" s="126" t="str">
        <f>IFERROR(VLOOKUP(JX8,教师安排!$A:$Y,JX$2+1,FALSE),"")</f>
        <v/>
      </c>
      <c r="JY9" s="126" t="str">
        <f>IFERROR(VLOOKUP(JY8,教师安排!$A:$Y,JY$2+1,FALSE),"")</f>
        <v/>
      </c>
      <c r="JZ9" s="126"/>
      <c r="KA9" s="126" t="str">
        <f>IFERROR(VLOOKUP(KA8,教师安排!$A:$Y,KA$2+1,FALSE),"")</f>
        <v/>
      </c>
      <c r="KB9" s="126" t="str">
        <f>IFERROR(VLOOKUP(KB8,教师安排!$A:$Y,KB$2+1,FALSE),"")</f>
        <v/>
      </c>
      <c r="KC9" s="126" t="str">
        <f>IFERROR(VLOOKUP(KC8,教师安排!$A:$Y,KC$2+1,FALSE),"")</f>
        <v/>
      </c>
      <c r="KD9" s="126" t="str">
        <f>IFERROR(VLOOKUP(KD8,教师安排!$A:$Y,KD$2+1,FALSE),"")</f>
        <v/>
      </c>
    </row>
    <row r="10" spans="1:290" s="116" customFormat="1" ht="18" customHeight="1" x14ac:dyDescent="0.4">
      <c r="A10" s="145"/>
      <c r="B10" s="143">
        <v>2</v>
      </c>
      <c r="C10" s="121" t="s">
        <v>85</v>
      </c>
      <c r="D10" s="121" t="s">
        <v>66</v>
      </c>
      <c r="E10" s="121" t="s">
        <v>81</v>
      </c>
      <c r="F10" s="121" t="s">
        <v>89</v>
      </c>
      <c r="G10" s="121" t="s">
        <v>81</v>
      </c>
      <c r="H10" s="121" t="s">
        <v>58</v>
      </c>
      <c r="I10" s="121" t="s">
        <v>54</v>
      </c>
      <c r="J10" s="121" t="s">
        <v>58</v>
      </c>
      <c r="K10" s="121" t="s">
        <v>34</v>
      </c>
      <c r="L10" s="121" t="s">
        <v>66</v>
      </c>
      <c r="M10" s="121" t="s">
        <v>42</v>
      </c>
      <c r="N10" s="121" t="s">
        <v>42</v>
      </c>
      <c r="O10" s="121" t="s">
        <v>42</v>
      </c>
      <c r="P10" s="121" t="s">
        <v>42</v>
      </c>
      <c r="Q10" s="121" t="s">
        <v>42</v>
      </c>
      <c r="R10" s="121"/>
      <c r="S10" s="121"/>
      <c r="T10" s="121"/>
      <c r="U10" s="121"/>
      <c r="V10" s="121" t="s">
        <v>138</v>
      </c>
      <c r="W10" s="121" t="s">
        <v>138</v>
      </c>
      <c r="X10" s="121" t="s">
        <v>136</v>
      </c>
      <c r="Y10" s="121" t="s">
        <v>136</v>
      </c>
      <c r="Z10" s="121" t="s">
        <v>136</v>
      </c>
      <c r="AA10" s="122" t="s">
        <v>62</v>
      </c>
      <c r="AB10" s="122" t="s">
        <v>81</v>
      </c>
      <c r="AC10" s="122" t="s">
        <v>26</v>
      </c>
      <c r="AD10" s="122" t="s">
        <v>71</v>
      </c>
      <c r="AE10" s="122" t="s">
        <v>62</v>
      </c>
      <c r="AF10" s="122" t="s">
        <v>58</v>
      </c>
      <c r="AG10" s="122" t="s">
        <v>58</v>
      </c>
      <c r="AH10" s="122" t="s">
        <v>89</v>
      </c>
      <c r="AI10" s="122" t="s">
        <v>76</v>
      </c>
      <c r="AJ10" s="122" t="s">
        <v>81</v>
      </c>
      <c r="AK10" s="122" t="s">
        <v>42</v>
      </c>
      <c r="AL10" s="122" t="s">
        <v>42</v>
      </c>
      <c r="AM10" s="122" t="s">
        <v>42</v>
      </c>
      <c r="AN10" s="122" t="s">
        <v>42</v>
      </c>
      <c r="AO10" s="122" t="s">
        <v>42</v>
      </c>
      <c r="AP10" s="122"/>
      <c r="AQ10" s="122"/>
      <c r="AR10" s="122"/>
      <c r="AS10" s="122"/>
      <c r="AT10" s="122" t="s">
        <v>138</v>
      </c>
      <c r="AU10" s="122" t="s">
        <v>138</v>
      </c>
      <c r="AV10" s="122" t="s">
        <v>136</v>
      </c>
      <c r="AW10" s="122" t="s">
        <v>136</v>
      </c>
      <c r="AX10" s="122" t="s">
        <v>136</v>
      </c>
      <c r="AY10" s="121" t="s">
        <v>34</v>
      </c>
      <c r="AZ10" s="121" t="s">
        <v>54</v>
      </c>
      <c r="BA10" s="121" t="s">
        <v>71</v>
      </c>
      <c r="BB10" s="121" t="s">
        <v>26</v>
      </c>
      <c r="BC10" s="121" t="s">
        <v>54</v>
      </c>
      <c r="BD10" s="121" t="s">
        <v>81</v>
      </c>
      <c r="BE10" s="121" t="s">
        <v>26</v>
      </c>
      <c r="BF10" s="121" t="s">
        <v>54</v>
      </c>
      <c r="BG10" s="121" t="s">
        <v>81</v>
      </c>
      <c r="BH10" s="121" t="s">
        <v>66</v>
      </c>
      <c r="BI10" s="121" t="s">
        <v>66</v>
      </c>
      <c r="BJ10" s="121" t="s">
        <v>92</v>
      </c>
      <c r="BK10" s="121" t="s">
        <v>26</v>
      </c>
      <c r="BL10" s="121" t="s">
        <v>76</v>
      </c>
      <c r="BM10" s="121" t="s">
        <v>76</v>
      </c>
      <c r="BN10" s="121"/>
      <c r="BO10" s="121"/>
      <c r="BP10" s="121"/>
      <c r="BQ10" s="121"/>
      <c r="BR10" s="121"/>
      <c r="BS10" s="121"/>
      <c r="BT10" s="121"/>
      <c r="BU10" s="121"/>
      <c r="BV10" s="121"/>
      <c r="BW10" s="122" t="s">
        <v>58</v>
      </c>
      <c r="BX10" s="122" t="s">
        <v>85</v>
      </c>
      <c r="BY10" s="122" t="s">
        <v>71</v>
      </c>
      <c r="BZ10" s="122" t="s">
        <v>71</v>
      </c>
      <c r="CA10" s="122" t="s">
        <v>54</v>
      </c>
      <c r="CB10" s="122" t="s">
        <v>34</v>
      </c>
      <c r="CC10" s="122" t="s">
        <v>34</v>
      </c>
      <c r="CD10" s="122" t="s">
        <v>26</v>
      </c>
      <c r="CE10" s="122" t="s">
        <v>34</v>
      </c>
      <c r="CF10" s="122" t="s">
        <v>62</v>
      </c>
      <c r="CG10" s="122" t="s">
        <v>42</v>
      </c>
      <c r="CH10" s="122" t="s">
        <v>42</v>
      </c>
      <c r="CI10" s="122" t="s">
        <v>42</v>
      </c>
      <c r="CJ10" s="122" t="s">
        <v>42</v>
      </c>
      <c r="CK10" s="122" t="s">
        <v>42</v>
      </c>
      <c r="CL10" s="122"/>
      <c r="CM10" s="122"/>
      <c r="CN10" s="122"/>
      <c r="CO10" s="122"/>
      <c r="CP10" s="122" t="s">
        <v>138</v>
      </c>
      <c r="CQ10" s="122" t="s">
        <v>138</v>
      </c>
      <c r="CR10" s="122" t="s">
        <v>136</v>
      </c>
      <c r="CS10" s="122" t="s">
        <v>136</v>
      </c>
      <c r="CT10" s="122" t="s">
        <v>136</v>
      </c>
      <c r="CU10" s="121" t="s">
        <v>81</v>
      </c>
      <c r="CV10" s="121" t="s">
        <v>66</v>
      </c>
      <c r="CW10" s="121" t="s">
        <v>34</v>
      </c>
      <c r="CX10" s="121" t="s">
        <v>76</v>
      </c>
      <c r="CY10" s="121" t="s">
        <v>54</v>
      </c>
      <c r="CZ10" s="121" t="s">
        <v>26</v>
      </c>
      <c r="DA10" s="121" t="s">
        <v>81</v>
      </c>
      <c r="DB10" s="121" t="s">
        <v>81</v>
      </c>
      <c r="DC10" s="121" t="s">
        <v>89</v>
      </c>
      <c r="DD10" s="121" t="s">
        <v>62</v>
      </c>
      <c r="DE10" s="121" t="s">
        <v>42</v>
      </c>
      <c r="DF10" s="121" t="s">
        <v>42</v>
      </c>
      <c r="DG10" s="121" t="s">
        <v>42</v>
      </c>
      <c r="DH10" s="121" t="s">
        <v>42</v>
      </c>
      <c r="DI10" s="121" t="s">
        <v>42</v>
      </c>
      <c r="DJ10" s="121"/>
      <c r="DK10" s="121"/>
      <c r="DL10" s="121"/>
      <c r="DM10" s="121"/>
      <c r="DN10" s="121" t="s">
        <v>138</v>
      </c>
      <c r="DO10" s="121" t="s">
        <v>138</v>
      </c>
      <c r="DP10" s="121" t="s">
        <v>136</v>
      </c>
      <c r="DQ10" s="121" t="s">
        <v>136</v>
      </c>
      <c r="DR10" s="121" t="s">
        <v>136</v>
      </c>
      <c r="DS10" s="122" t="s">
        <v>34</v>
      </c>
      <c r="DT10" s="122" t="s">
        <v>34</v>
      </c>
      <c r="DU10" s="122" t="s">
        <v>58</v>
      </c>
      <c r="DV10" s="122" t="s">
        <v>62</v>
      </c>
      <c r="DW10" s="122" t="s">
        <v>54</v>
      </c>
      <c r="DX10" s="122" t="s">
        <v>58</v>
      </c>
      <c r="DY10" s="122" t="s">
        <v>42</v>
      </c>
      <c r="DZ10" s="122" t="s">
        <v>34</v>
      </c>
      <c r="EA10" s="122" t="s">
        <v>34</v>
      </c>
      <c r="EB10" s="122" t="s">
        <v>42</v>
      </c>
      <c r="EC10" s="122" t="s">
        <v>34</v>
      </c>
      <c r="ED10" s="122" t="s">
        <v>26</v>
      </c>
      <c r="EE10" s="122" t="s">
        <v>66</v>
      </c>
      <c r="EF10" s="122" t="s">
        <v>26</v>
      </c>
      <c r="EG10" s="122" t="s">
        <v>76</v>
      </c>
      <c r="EH10" s="122"/>
      <c r="EI10" s="122"/>
      <c r="EJ10" s="122"/>
      <c r="EK10" s="122"/>
      <c r="EL10" s="122"/>
      <c r="EM10" s="122"/>
      <c r="EN10" s="122"/>
      <c r="EO10" s="122"/>
      <c r="EP10" s="122"/>
      <c r="EQ10" s="121" t="s">
        <v>54</v>
      </c>
      <c r="ER10" s="121" t="s">
        <v>54</v>
      </c>
      <c r="ES10" s="121" t="s">
        <v>26</v>
      </c>
      <c r="ET10" s="121" t="s">
        <v>76</v>
      </c>
      <c r="EU10" s="121" t="s">
        <v>62</v>
      </c>
      <c r="EV10" s="121" t="s">
        <v>54</v>
      </c>
      <c r="EW10" s="121" t="s">
        <v>58</v>
      </c>
      <c r="EX10" s="121" t="s">
        <v>76</v>
      </c>
      <c r="EY10" s="121" t="s">
        <v>76</v>
      </c>
      <c r="EZ10" s="121" t="s">
        <v>66</v>
      </c>
      <c r="FA10" s="121" t="s">
        <v>42</v>
      </c>
      <c r="FB10" s="121" t="s">
        <v>42</v>
      </c>
      <c r="FC10" s="121" t="s">
        <v>42</v>
      </c>
      <c r="FD10" s="121" t="s">
        <v>42</v>
      </c>
      <c r="FE10" s="121" t="s">
        <v>42</v>
      </c>
      <c r="FF10" s="121"/>
      <c r="FG10" s="121"/>
      <c r="FH10" s="121"/>
      <c r="FI10" s="121"/>
      <c r="FJ10" s="121" t="s">
        <v>138</v>
      </c>
      <c r="FK10" s="121" t="s">
        <v>138</v>
      </c>
      <c r="FL10" s="121" t="s">
        <v>136</v>
      </c>
      <c r="FM10" s="121" t="s">
        <v>136</v>
      </c>
      <c r="FN10" s="121" t="s">
        <v>136</v>
      </c>
      <c r="FO10" s="122" t="s">
        <v>85</v>
      </c>
      <c r="FP10" s="122" t="s">
        <v>66</v>
      </c>
      <c r="FQ10" s="122" t="s">
        <v>81</v>
      </c>
      <c r="FR10" s="122" t="s">
        <v>89</v>
      </c>
      <c r="FS10" s="122" t="s">
        <v>81</v>
      </c>
      <c r="FT10" s="122" t="s">
        <v>58</v>
      </c>
      <c r="FU10" s="122" t="s">
        <v>54</v>
      </c>
      <c r="FV10" s="122" t="s">
        <v>58</v>
      </c>
      <c r="FW10" s="122" t="s">
        <v>34</v>
      </c>
      <c r="FX10" s="122" t="s">
        <v>66</v>
      </c>
      <c r="FY10" s="122" t="s">
        <v>42</v>
      </c>
      <c r="FZ10" s="122" t="s">
        <v>42</v>
      </c>
      <c r="GA10" s="122" t="s">
        <v>42</v>
      </c>
      <c r="GB10" s="122" t="s">
        <v>42</v>
      </c>
      <c r="GC10" s="122" t="s">
        <v>42</v>
      </c>
      <c r="GD10" s="122"/>
      <c r="GE10" s="122"/>
      <c r="GF10" s="122"/>
      <c r="GG10" s="122"/>
      <c r="GH10" s="122" t="s">
        <v>138</v>
      </c>
      <c r="GI10" s="122" t="s">
        <v>138</v>
      </c>
      <c r="GJ10" s="122" t="s">
        <v>136</v>
      </c>
      <c r="GK10" s="122" t="s">
        <v>136</v>
      </c>
      <c r="GL10" s="122" t="s">
        <v>136</v>
      </c>
      <c r="GM10" s="121" t="s">
        <v>71</v>
      </c>
      <c r="GN10" s="121" t="s">
        <v>81</v>
      </c>
      <c r="GO10" s="121" t="s">
        <v>26</v>
      </c>
      <c r="GP10" s="121" t="s">
        <v>54</v>
      </c>
      <c r="GQ10" s="121" t="s">
        <v>62</v>
      </c>
      <c r="GR10" s="121" t="s">
        <v>58</v>
      </c>
      <c r="GS10" s="121" t="s">
        <v>58</v>
      </c>
      <c r="GT10" s="121" t="s">
        <v>89</v>
      </c>
      <c r="GU10" s="121" t="s">
        <v>76</v>
      </c>
      <c r="GV10" s="121" t="s">
        <v>81</v>
      </c>
      <c r="GW10" s="121" t="s">
        <v>42</v>
      </c>
      <c r="GX10" s="121" t="s">
        <v>42</v>
      </c>
      <c r="GY10" s="121" t="s">
        <v>42</v>
      </c>
      <c r="GZ10" s="121" t="s">
        <v>42</v>
      </c>
      <c r="HA10" s="121" t="s">
        <v>42</v>
      </c>
      <c r="HB10" s="121"/>
      <c r="HC10" s="121"/>
      <c r="HD10" s="121"/>
      <c r="HE10" s="121"/>
      <c r="HF10" s="121" t="s">
        <v>138</v>
      </c>
      <c r="HG10" s="121" t="s">
        <v>138</v>
      </c>
      <c r="HH10" s="121" t="s">
        <v>136</v>
      </c>
      <c r="HI10" s="121" t="s">
        <v>136</v>
      </c>
      <c r="HJ10" s="121" t="s">
        <v>136</v>
      </c>
      <c r="HK10" s="122" t="s">
        <v>34</v>
      </c>
      <c r="HL10" s="122" t="s">
        <v>54</v>
      </c>
      <c r="HM10" s="122" t="s">
        <v>71</v>
      </c>
      <c r="HN10" s="122" t="s">
        <v>26</v>
      </c>
      <c r="HO10" s="122" t="s">
        <v>54</v>
      </c>
      <c r="HP10" s="122" t="s">
        <v>81</v>
      </c>
      <c r="HQ10" s="122" t="s">
        <v>26</v>
      </c>
      <c r="HR10" s="122" t="s">
        <v>54</v>
      </c>
      <c r="HS10" s="122" t="s">
        <v>81</v>
      </c>
      <c r="HT10" s="122" t="s">
        <v>66</v>
      </c>
      <c r="HU10" s="122" t="s">
        <v>66</v>
      </c>
      <c r="HV10" s="122" t="s">
        <v>92</v>
      </c>
      <c r="HW10" s="122" t="s">
        <v>26</v>
      </c>
      <c r="HX10" s="122" t="s">
        <v>76</v>
      </c>
      <c r="HY10" s="122" t="s">
        <v>76</v>
      </c>
      <c r="HZ10" s="122"/>
      <c r="IA10" s="122"/>
      <c r="IB10" s="122"/>
      <c r="IC10" s="122"/>
      <c r="ID10" s="122"/>
      <c r="IE10" s="122"/>
      <c r="IF10" s="122"/>
      <c r="IG10" s="122"/>
      <c r="IH10" s="122"/>
      <c r="II10" s="121" t="s">
        <v>58</v>
      </c>
      <c r="IJ10" s="121" t="s">
        <v>85</v>
      </c>
      <c r="IK10" s="121" t="s">
        <v>71</v>
      </c>
      <c r="IL10" s="121" t="s">
        <v>76</v>
      </c>
      <c r="IM10" s="121" t="s">
        <v>54</v>
      </c>
      <c r="IN10" s="121" t="s">
        <v>34</v>
      </c>
      <c r="IO10" s="121" t="s">
        <v>34</v>
      </c>
      <c r="IP10" s="121" t="s">
        <v>26</v>
      </c>
      <c r="IQ10" s="121" t="s">
        <v>76</v>
      </c>
      <c r="IR10" s="121" t="s">
        <v>62</v>
      </c>
      <c r="IS10" s="121" t="s">
        <v>42</v>
      </c>
      <c r="IT10" s="121" t="s">
        <v>42</v>
      </c>
      <c r="IU10" s="121" t="s">
        <v>42</v>
      </c>
      <c r="IV10" s="121" t="s">
        <v>42</v>
      </c>
      <c r="IW10" s="121" t="s">
        <v>42</v>
      </c>
      <c r="IX10" s="121"/>
      <c r="IY10" s="121"/>
      <c r="IZ10" s="121"/>
      <c r="JA10" s="121"/>
      <c r="JB10" s="121" t="s">
        <v>138</v>
      </c>
      <c r="JC10" s="121" t="s">
        <v>138</v>
      </c>
      <c r="JD10" s="121" t="s">
        <v>136</v>
      </c>
      <c r="JE10" s="121" t="s">
        <v>136</v>
      </c>
      <c r="JF10" s="121" t="s">
        <v>136</v>
      </c>
      <c r="JG10" s="122" t="s">
        <v>81</v>
      </c>
      <c r="JH10" s="122" t="s">
        <v>66</v>
      </c>
      <c r="JI10" s="122" t="s">
        <v>76</v>
      </c>
      <c r="JJ10" s="122" t="s">
        <v>58</v>
      </c>
      <c r="JK10" s="122" t="s">
        <v>54</v>
      </c>
      <c r="JL10" s="122" t="s">
        <v>26</v>
      </c>
      <c r="JM10" s="122" t="s">
        <v>81</v>
      </c>
      <c r="JN10" s="122" t="s">
        <v>76</v>
      </c>
      <c r="JO10" s="122" t="s">
        <v>89</v>
      </c>
      <c r="JP10" s="122" t="s">
        <v>81</v>
      </c>
      <c r="JQ10" s="122" t="s">
        <v>42</v>
      </c>
      <c r="JR10" s="122" t="s">
        <v>42</v>
      </c>
      <c r="JS10" s="122" t="s">
        <v>42</v>
      </c>
      <c r="JT10" s="122" t="s">
        <v>42</v>
      </c>
      <c r="JU10" s="122" t="s">
        <v>42</v>
      </c>
      <c r="JV10" s="122"/>
      <c r="JW10" s="122"/>
      <c r="JX10" s="122"/>
      <c r="JY10" s="122"/>
      <c r="JZ10" s="122" t="s">
        <v>138</v>
      </c>
      <c r="KA10" s="122" t="s">
        <v>138</v>
      </c>
      <c r="KB10" s="122" t="s">
        <v>136</v>
      </c>
      <c r="KC10" s="122" t="s">
        <v>136</v>
      </c>
      <c r="KD10" s="122" t="s">
        <v>136</v>
      </c>
    </row>
    <row r="11" spans="1:290" s="117" customFormat="1" ht="18" customHeight="1" x14ac:dyDescent="0.4">
      <c r="A11" s="145"/>
      <c r="B11" s="143"/>
      <c r="C11" s="125" t="str">
        <f>IFERROR(VLOOKUP(C10,教师安排!$A:$Y,C$2+1,FALSE),"")</f>
        <v>李冰慧</v>
      </c>
      <c r="D11" s="125" t="str">
        <f>IFERROR(VLOOKUP(D10,教师安排!$A:$Y,D$2+1,FALSE),"")</f>
        <v>田凤美</v>
      </c>
      <c r="E11" s="125" t="str">
        <f>IFERROR(VLOOKUP(E10,教师安排!$A:$Y,E$2+1,FALSE),"")</f>
        <v>王庆超</v>
      </c>
      <c r="F11" s="125" t="str">
        <f>IFERROR(VLOOKUP(F10,教师安排!$A:$Y,F$2+1,FALSE),"")</f>
        <v>张喆</v>
      </c>
      <c r="G11" s="125" t="str">
        <f>IFERROR(VLOOKUP(G10,教师安排!$A:$Y,G$2+1,FALSE),"")</f>
        <v>袁奇</v>
      </c>
      <c r="H11" s="125" t="str">
        <f>IFERROR(VLOOKUP(H10,教师安排!$A:$Y,H$2+1,FALSE),"")</f>
        <v>李振铎</v>
      </c>
      <c r="I11" s="125" t="str">
        <f>IFERROR(VLOOKUP(I10,教师安排!$A:$Y,I$2+1,FALSE),"")</f>
        <v>孙存义</v>
      </c>
      <c r="J11" s="125" t="str">
        <f>IFERROR(VLOOKUP(J10,教师安排!$A:$Y,J$2+1,FALSE),"")</f>
        <v>宋开元</v>
      </c>
      <c r="K11" s="125" t="str">
        <f>IFERROR(VLOOKUP(K10,教师安排!$A:$Y,K$2+1,FALSE),"")</f>
        <v>赵雪敏</v>
      </c>
      <c r="L11" s="125" t="str">
        <f>IFERROR(VLOOKUP(L10,教师安排!$A:$Y,L$2+1,FALSE),"")</f>
        <v>董艳华</v>
      </c>
      <c r="M11" s="125" t="str">
        <f>IFERROR(VLOOKUP(M10,教师安排!$A:$Y,M$2+1,FALSE),"")</f>
        <v>王/宋/翟/胡</v>
      </c>
      <c r="N11" s="125" t="str">
        <f>IFERROR(VLOOKUP(N10,教师安排!$A:$Y,N$2+1,FALSE),"")</f>
        <v>韩/宋/翟/胡</v>
      </c>
      <c r="O11" s="125" t="str">
        <f>IFERROR(VLOOKUP(O10,教师安排!$A:$Y,O$2+1,FALSE),"")</f>
        <v>宋/韩/王</v>
      </c>
      <c r="P11" s="125" t="str">
        <f>IFERROR(VLOOKUP(P10,教师安排!$A:$Y,P$2+1,FALSE),"")</f>
        <v>翟/韩/王</v>
      </c>
      <c r="Q11" s="125" t="str">
        <f>IFERROR(VLOOKUP(Q10,教师安排!$A:$Y,Q$2+1,FALSE),"")</f>
        <v>胡/韩/王</v>
      </c>
      <c r="R11" s="125" t="str">
        <f>IFERROR(VLOOKUP(R10,教师安排!$A:$Y,R$2+1,FALSE),"")</f>
        <v/>
      </c>
      <c r="S11" s="125" t="str">
        <f>IFERROR(VLOOKUP(S10,教师安排!$A:$Y,S$2+1,FALSE),"")</f>
        <v/>
      </c>
      <c r="T11" s="125" t="str">
        <f>IFERROR(VLOOKUP(T10,教师安排!$A:$Y,T$2+1,FALSE),"")</f>
        <v/>
      </c>
      <c r="U11" s="125" t="str">
        <f>IFERROR(VLOOKUP(U10,教师安排!$A:$Y,U$2+1,FALSE),"")</f>
        <v/>
      </c>
      <c r="V11" s="125" t="str">
        <f>IFERROR(VLOOKUP(V10,教师安排!$A:$Y,V$2+1,FALSE),"")</f>
        <v>王灼</v>
      </c>
      <c r="W11" s="125" t="str">
        <f>IFERROR(VLOOKUP(W10,教师安排!$A:$Y,W$2+1,FALSE),"")</f>
        <v>韩丽梅</v>
      </c>
      <c r="X11" s="125" t="str">
        <f>IFERROR(VLOOKUP(X10,教师安排!$A:$Y,X$2+1,FALSE),"")</f>
        <v>宋平</v>
      </c>
      <c r="Y11" s="125" t="str">
        <f>IFERROR(VLOOKUP(Y10,教师安排!$A:$Y,Y$2+1,FALSE),"")</f>
        <v>翟淑玮</v>
      </c>
      <c r="Z11" s="125" t="str">
        <f>IFERROR(VLOOKUP(Z10,教师安排!$A:$Y,Z$2+1,FALSE),"")</f>
        <v>胡存想</v>
      </c>
      <c r="AA11" s="126" t="str">
        <f>IFERROR(VLOOKUP(AA10,教师安排!$A:$Y,AA$2+1,FALSE),"")</f>
        <v>周兴玲</v>
      </c>
      <c r="AB11" s="126" t="str">
        <f>IFERROR(VLOOKUP(AB10,教师安排!$A:$Y,AB$2+1,FALSE),"")</f>
        <v>王庆超</v>
      </c>
      <c r="AC11" s="126" t="str">
        <f>IFERROR(VLOOKUP(AC10,教师安排!$A:$Y,AC$2+1,FALSE),"")</f>
        <v>杨彬</v>
      </c>
      <c r="AD11" s="126" t="str">
        <f>IFERROR(VLOOKUP(AD10,教师安排!$A:$Y,AD$2+1,FALSE),"")</f>
        <v>刘珊珊</v>
      </c>
      <c r="AE11" s="126" t="str">
        <f>IFERROR(VLOOKUP(AE10,教师安排!$A:$Y,AE$2+1,FALSE),"")</f>
        <v>刘腾</v>
      </c>
      <c r="AF11" s="126" t="str">
        <f>IFERROR(VLOOKUP(AF10,教师安排!$A:$Y,AF$2+1,FALSE),"")</f>
        <v>李振铎</v>
      </c>
      <c r="AG11" s="126" t="str">
        <f>IFERROR(VLOOKUP(AG10,教师安排!$A:$Y,AG$2+1,FALSE),"")</f>
        <v>马崇庆</v>
      </c>
      <c r="AH11" s="126" t="str">
        <f>IFERROR(VLOOKUP(AH10,教师安排!$A:$Y,AH$2+1,FALSE),"")</f>
        <v>张喆</v>
      </c>
      <c r="AI11" s="126" t="str">
        <f>IFERROR(VLOOKUP(AI10,教师安排!$A:$Y,AI$2+1,FALSE),"")</f>
        <v>王硕</v>
      </c>
      <c r="AJ11" s="126" t="str">
        <f>IFERROR(VLOOKUP(AJ10,教师安排!$A:$Y,AJ$2+1,FALSE),"")</f>
        <v>刘天骄</v>
      </c>
      <c r="AK11" s="126" t="str">
        <f>IFERROR(VLOOKUP(AK10,教师安排!$A:$Y,AK$2+1,FALSE),"")</f>
        <v>王/宋/翟/胡</v>
      </c>
      <c r="AL11" s="126" t="str">
        <f>IFERROR(VLOOKUP(AL10,教师安排!$A:$Y,AL$2+1,FALSE),"")</f>
        <v>韩/宋/翟/胡</v>
      </c>
      <c r="AM11" s="126" t="str">
        <f>IFERROR(VLOOKUP(AM10,教师安排!$A:$Y,AM$2+1,FALSE),"")</f>
        <v>宋/韩/王</v>
      </c>
      <c r="AN11" s="126" t="str">
        <f>IFERROR(VLOOKUP(AN10,教师安排!$A:$Y,AN$2+1,FALSE),"")</f>
        <v>翟/韩/王</v>
      </c>
      <c r="AO11" s="126" t="str">
        <f>IFERROR(VLOOKUP(AO10,教师安排!$A:$Y,AO$2+1,FALSE),"")</f>
        <v>胡/韩/王</v>
      </c>
      <c r="AP11" s="126" t="str">
        <f>IFERROR(VLOOKUP(AP10,教师安排!$A:$Y,AP$2+1,FALSE),"")</f>
        <v/>
      </c>
      <c r="AQ11" s="126" t="str">
        <f>IFERROR(VLOOKUP(AQ10,教师安排!$A:$Y,AQ$2+1,FALSE),"")</f>
        <v/>
      </c>
      <c r="AR11" s="126" t="str">
        <f>IFERROR(VLOOKUP(AR10,教师安排!$A:$Y,AR$2+1,FALSE),"")</f>
        <v/>
      </c>
      <c r="AS11" s="126" t="str">
        <f>IFERROR(VLOOKUP(AS10,教师安排!$A:$Y,AS$2+1,FALSE),"")</f>
        <v/>
      </c>
      <c r="AT11" s="126" t="str">
        <f>IFERROR(VLOOKUP(AT10,教师安排!$A:$Y,AT$2+1,FALSE),"")</f>
        <v>王灼</v>
      </c>
      <c r="AU11" s="126" t="str">
        <f>IFERROR(VLOOKUP(AU10,教师安排!$A:$Y,AU$2+1,FALSE),"")</f>
        <v>韩丽梅</v>
      </c>
      <c r="AV11" s="126" t="str">
        <f>IFERROR(VLOOKUP(AV10,教师安排!$A:$Y,AV$2+1,FALSE),"")</f>
        <v>宋平</v>
      </c>
      <c r="AW11" s="126" t="str">
        <f>IFERROR(VLOOKUP(AW10,教师安排!$A:$Y,AW$2+1,FALSE),"")</f>
        <v>翟淑玮</v>
      </c>
      <c r="AX11" s="126" t="str">
        <f>IFERROR(VLOOKUP(AX10,教师安排!$A:$Y,AX$2+1,FALSE),"")</f>
        <v>胡存想</v>
      </c>
      <c r="AY11" s="125" t="str">
        <f>IFERROR(VLOOKUP(AY10,教师安排!$A:$Y,AY$2+1,FALSE),"")</f>
        <v>侯淑贤</v>
      </c>
      <c r="AZ11" s="125" t="str">
        <f>IFERROR(VLOOKUP(AZ10,教师安排!$A:$Y,AZ$2+1,FALSE),"")</f>
        <v>张雨晴</v>
      </c>
      <c r="BA11" s="125" t="str">
        <f>IFERROR(VLOOKUP(BA10,教师安排!$A:$Y,BA$2+1,FALSE),"")</f>
        <v>张雯皓</v>
      </c>
      <c r="BB11" s="125" t="str">
        <f>IFERROR(VLOOKUP(BB10,教师安排!$A:$Y,BB$2+1,FALSE),"")</f>
        <v>史振塞</v>
      </c>
      <c r="BC11" s="125" t="str">
        <f>IFERROR(VLOOKUP(BC10,教师安排!$A:$Y,BC$2+1,FALSE),"")</f>
        <v>孙存义</v>
      </c>
      <c r="BD11" s="125" t="str">
        <f>IFERROR(VLOOKUP(BD10,教师安排!$A:$Y,BD$2+1,FALSE),"")</f>
        <v>刘天骄</v>
      </c>
      <c r="BE11" s="125" t="str">
        <f>IFERROR(VLOOKUP(BE10,教师安排!$A:$Y,BE$2+1,FALSE),"")</f>
        <v>王雪莲</v>
      </c>
      <c r="BF11" s="125" t="str">
        <f>IFERROR(VLOOKUP(BF10,教师安排!$A:$Y,BF$2+1,FALSE),"")</f>
        <v>康波</v>
      </c>
      <c r="BG11" s="125" t="str">
        <f>IFERROR(VLOOKUP(BG10,教师安排!$A:$Y,BG$2+1,FALSE),"")</f>
        <v>袁奇</v>
      </c>
      <c r="BH11" s="125" t="str">
        <f>IFERROR(VLOOKUP(BH10,教师安排!$A:$Y,BH$2+1,FALSE),"")</f>
        <v>董艳华</v>
      </c>
      <c r="BI11" s="125" t="str">
        <f>IFERROR(VLOOKUP(BI10,教师安排!$A:$Y,BI$2+1,FALSE),"")</f>
        <v>田凤美</v>
      </c>
      <c r="BJ11" s="125" t="str">
        <f>IFERROR(VLOOKUP(BJ10,教师安排!$A:$Y,BJ$2+1,FALSE),"")</f>
        <v>孙显阳</v>
      </c>
      <c r="BK11" s="125" t="str">
        <f>IFERROR(VLOOKUP(BK10,教师安排!$A:$Y,BK$2+1,FALSE),"")</f>
        <v>王菲</v>
      </c>
      <c r="BL11" s="125" t="str">
        <f>IFERROR(VLOOKUP(BL10,教师安排!$A:$Y,BL$2+1,FALSE),"")</f>
        <v>孙锦锦</v>
      </c>
      <c r="BM11" s="125" t="str">
        <f>IFERROR(VLOOKUP(BM10,教师安排!$A:$Y,BM$2+1,FALSE),"")</f>
        <v>孙秋杰</v>
      </c>
      <c r="BN11" s="125" t="str">
        <f>IFERROR(VLOOKUP(BN10,教师安排!$A:$Y,BN$2+1,FALSE),"")</f>
        <v/>
      </c>
      <c r="BO11" s="125" t="str">
        <f>IFERROR(VLOOKUP(BO10,教师安排!$A:$Y,BO$2+1,FALSE),"")</f>
        <v/>
      </c>
      <c r="BP11" s="125" t="str">
        <f>IFERROR(VLOOKUP(BP10,教师安排!$A:$Y,BP$2+1,FALSE),"")</f>
        <v/>
      </c>
      <c r="BQ11" s="125" t="str">
        <f>IFERROR(VLOOKUP(BQ10,教师安排!$A:$Y,BQ$2+1,FALSE),"")</f>
        <v/>
      </c>
      <c r="BR11" s="125" t="str">
        <f>IFERROR(VLOOKUP(BR10,教师安排!$A:$Y,BR$2+1,FALSE),"")</f>
        <v/>
      </c>
      <c r="BS11" s="125" t="str">
        <f>IFERROR(VLOOKUP(BS10,教师安排!$A:$Y,BS$2+1,FALSE),"")</f>
        <v/>
      </c>
      <c r="BT11" s="125" t="str">
        <f>IFERROR(VLOOKUP(BT10,教师安排!$A:$Y,BT$2+1,FALSE),"")</f>
        <v/>
      </c>
      <c r="BU11" s="125" t="str">
        <f>IFERROR(VLOOKUP(BU10,教师安排!$A:$Y,BU$2+1,FALSE),"")</f>
        <v/>
      </c>
      <c r="BV11" s="125" t="str">
        <f>IFERROR(VLOOKUP(BV10,教师安排!$A:$Y,BV$2+1,FALSE),"")</f>
        <v/>
      </c>
      <c r="BW11" s="126" t="str">
        <f>IFERROR(VLOOKUP(BW10,教师安排!$A:$Y,BW$2+1,FALSE),"")</f>
        <v>马崇庆</v>
      </c>
      <c r="BX11" s="126" t="str">
        <f>IFERROR(VLOOKUP(BX10,教师安排!$A:$Y,BX$2+1,FALSE),"")</f>
        <v>李冰慧</v>
      </c>
      <c r="BY11" s="126" t="str">
        <f>IFERROR(VLOOKUP(BY10,教师安排!$A:$Y,BY$2+1,FALSE),"")</f>
        <v>张雯皓</v>
      </c>
      <c r="BZ11" s="126" t="str">
        <f>IFERROR(VLOOKUP(BZ10,教师安排!$A:$Y,BZ$2+1,FALSE),"")</f>
        <v>刘珊珊</v>
      </c>
      <c r="CA11" s="126" t="str">
        <f>IFERROR(VLOOKUP(CA10,教师安排!$A:$Y,CA$2+1,FALSE),"")</f>
        <v>孙存义</v>
      </c>
      <c r="CB11" s="126" t="str">
        <f>IFERROR(VLOOKUP(CB10,教师安排!$A:$Y,CB$2+1,FALSE),"")</f>
        <v>王露</v>
      </c>
      <c r="CC11" s="126" t="str">
        <f>IFERROR(VLOOKUP(CC10,教师安排!$A:$Y,CC$2+1,FALSE),"")</f>
        <v>范林林</v>
      </c>
      <c r="CD11" s="126" t="str">
        <f>IFERROR(VLOOKUP(CD10,教师安排!$A:$Y,CD$2+1,FALSE),"")</f>
        <v>路睿</v>
      </c>
      <c r="CE11" s="126" t="str">
        <f>IFERROR(VLOOKUP(CE10,教师安排!$A:$Y,CE$2+1,FALSE),"")</f>
        <v>赵雪敏</v>
      </c>
      <c r="CF11" s="126" t="str">
        <f>IFERROR(VLOOKUP(CF10,教师安排!$A:$Y,CF$2+1,FALSE),"")</f>
        <v>蒋心言</v>
      </c>
      <c r="CG11" s="126" t="str">
        <f>IFERROR(VLOOKUP(CG10,教师安排!$A:$Y,CG$2+1,FALSE),"")</f>
        <v>王/宋/翟/胡</v>
      </c>
      <c r="CH11" s="126" t="str">
        <f>IFERROR(VLOOKUP(CH10,教师安排!$A:$Y,CH$2+1,FALSE),"")</f>
        <v>韩/宋/翟/胡</v>
      </c>
      <c r="CI11" s="126" t="str">
        <f>IFERROR(VLOOKUP(CI10,教师安排!$A:$Y,CI$2+1,FALSE),"")</f>
        <v>宋/韩/王</v>
      </c>
      <c r="CJ11" s="126" t="str">
        <f>IFERROR(VLOOKUP(CJ10,教师安排!$A:$Y,CJ$2+1,FALSE),"")</f>
        <v>翟/韩/王</v>
      </c>
      <c r="CK11" s="126" t="str">
        <f>IFERROR(VLOOKUP(CK10,教师安排!$A:$Y,CK$2+1,FALSE),"")</f>
        <v>胡/韩/王</v>
      </c>
      <c r="CL11" s="126" t="str">
        <f>IFERROR(VLOOKUP(CL10,教师安排!$A:$Y,CL$2+1,FALSE),"")</f>
        <v/>
      </c>
      <c r="CM11" s="126" t="str">
        <f>IFERROR(VLOOKUP(CM10,教师安排!$A:$Y,CM$2+1,FALSE),"")</f>
        <v/>
      </c>
      <c r="CN11" s="126" t="str">
        <f>IFERROR(VLOOKUP(CN10,教师安排!$A:$Y,CN$2+1,FALSE),"")</f>
        <v/>
      </c>
      <c r="CO11" s="126" t="str">
        <f>IFERROR(VLOOKUP(CO10,教师安排!$A:$Y,CO$2+1,FALSE),"")</f>
        <v/>
      </c>
      <c r="CP11" s="126" t="str">
        <f>IFERROR(VLOOKUP(CP10,教师安排!$A:$Y,CP$2+1,FALSE),"")</f>
        <v>王灼</v>
      </c>
      <c r="CQ11" s="126" t="str">
        <f>IFERROR(VLOOKUP(CQ10,教师安排!$A:$Y,CQ$2+1,FALSE),"")</f>
        <v>韩丽梅</v>
      </c>
      <c r="CR11" s="126" t="str">
        <f>IFERROR(VLOOKUP(CR10,教师安排!$A:$Y,CR$2+1,FALSE),"")</f>
        <v>宋平</v>
      </c>
      <c r="CS11" s="126" t="str">
        <f>IFERROR(VLOOKUP(CS10,教师安排!$A:$Y,CS$2+1,FALSE),"")</f>
        <v>翟淑玮</v>
      </c>
      <c r="CT11" s="126" t="str">
        <f>IFERROR(VLOOKUP(CT10,教师安排!$A:$Y,CT$2+1,FALSE),"")</f>
        <v>胡存想</v>
      </c>
      <c r="CU11" s="125" t="str">
        <f>IFERROR(VLOOKUP(CU10,教师安排!$A:$Y,CU$2+1,FALSE),"")</f>
        <v>王庆超</v>
      </c>
      <c r="CV11" s="125" t="str">
        <f>IFERROR(VLOOKUP(CV10,教师安排!$A:$Y,CV$2+1,FALSE),"")</f>
        <v>田凤美</v>
      </c>
      <c r="CW11" s="125" t="str">
        <f>IFERROR(VLOOKUP(CW10,教师安排!$A:$Y,CW$2+1,FALSE),"")</f>
        <v>姚来朋</v>
      </c>
      <c r="CX11" s="125" t="str">
        <f>IFERROR(VLOOKUP(CX10,教师安排!$A:$Y,CX$2+1,FALSE),"")</f>
        <v>李会玲</v>
      </c>
      <c r="CY11" s="125" t="str">
        <f>IFERROR(VLOOKUP(CY10,教师安排!$A:$Y,CY$2+1,FALSE),"")</f>
        <v>孙存义</v>
      </c>
      <c r="CZ11" s="125" t="str">
        <f>IFERROR(VLOOKUP(CZ10,教师安排!$A:$Y,CZ$2+1,FALSE),"")</f>
        <v>姜媛媛</v>
      </c>
      <c r="DA11" s="125" t="str">
        <f>IFERROR(VLOOKUP(DA10,教师安排!$A:$Y,DA$2+1,FALSE),"")</f>
        <v>袁奇</v>
      </c>
      <c r="DB11" s="125" t="str">
        <f>IFERROR(VLOOKUP(DB10,教师安排!$A:$Y,DB$2+1,FALSE),"")</f>
        <v>刘天骄</v>
      </c>
      <c r="DC11" s="125" t="str">
        <f>IFERROR(VLOOKUP(DC10,教师安排!$A:$Y,DC$2+1,FALSE),"")</f>
        <v>孙显阳</v>
      </c>
      <c r="DD11" s="125" t="str">
        <f>IFERROR(VLOOKUP(DD10,教师安排!$A:$Y,DD$2+1,FALSE),"")</f>
        <v>蒋心言</v>
      </c>
      <c r="DE11" s="125" t="str">
        <f>IFERROR(VLOOKUP(DE10,教师安排!$A:$Y,DE$2+1,FALSE),"")</f>
        <v>王/宋/翟/胡</v>
      </c>
      <c r="DF11" s="125" t="str">
        <f>IFERROR(VLOOKUP(DF10,教师安排!$A:$Y,DF$2+1,FALSE),"")</f>
        <v>韩/宋/翟/胡</v>
      </c>
      <c r="DG11" s="125" t="str">
        <f>IFERROR(VLOOKUP(DG10,教师安排!$A:$Y,DG$2+1,FALSE),"")</f>
        <v>宋/韩/王</v>
      </c>
      <c r="DH11" s="125" t="str">
        <f>IFERROR(VLOOKUP(DH10,教师安排!$A:$Y,DH$2+1,FALSE),"")</f>
        <v>翟/韩/王</v>
      </c>
      <c r="DI11" s="125" t="str">
        <f>IFERROR(VLOOKUP(DI10,教师安排!$A:$Y,DI$2+1,FALSE),"")</f>
        <v>胡/韩/王</v>
      </c>
      <c r="DJ11" s="125" t="str">
        <f>IFERROR(VLOOKUP(DJ10,教师安排!$A:$Y,DJ$2+1,FALSE),"")</f>
        <v/>
      </c>
      <c r="DK11" s="125" t="str">
        <f>IFERROR(VLOOKUP(DK10,教师安排!$A:$Y,DK$2+1,FALSE),"")</f>
        <v/>
      </c>
      <c r="DL11" s="125" t="str">
        <f>IFERROR(VLOOKUP(DL10,教师安排!$A:$Y,DL$2+1,FALSE),"")</f>
        <v/>
      </c>
      <c r="DM11" s="125" t="str">
        <f>IFERROR(VLOOKUP(DM10,教师安排!$A:$Y,DM$2+1,FALSE),"")</f>
        <v/>
      </c>
      <c r="DN11" s="125" t="str">
        <f>IFERROR(VLOOKUP(DN10,教师安排!$A:$Y,DN$2+1,FALSE),"")</f>
        <v>王灼</v>
      </c>
      <c r="DO11" s="125" t="str">
        <f>IFERROR(VLOOKUP(DO10,教师安排!$A:$Y,DO$2+1,FALSE),"")</f>
        <v>韩丽梅</v>
      </c>
      <c r="DP11" s="125" t="str">
        <f>IFERROR(VLOOKUP(DP10,教师安排!$A:$Y,DP$2+1,FALSE),"")</f>
        <v>宋平</v>
      </c>
      <c r="DQ11" s="125" t="str">
        <f>IFERROR(VLOOKUP(DQ10,教师安排!$A:$Y,DQ$2+1,FALSE),"")</f>
        <v>翟淑玮</v>
      </c>
      <c r="DR11" s="125" t="str">
        <f>IFERROR(VLOOKUP(DR10,教师安排!$A:$Y,DR$2+1,FALSE),"")</f>
        <v>胡存想</v>
      </c>
      <c r="DS11" s="124" t="str">
        <f>IFERROR(VLOOKUP(DS10,教师安排!$A:$Y,DS$2+1,FALSE),"")</f>
        <v>侯淑贤</v>
      </c>
      <c r="DT11" s="124" t="str">
        <f>IFERROR(VLOOKUP(DT10,教师安排!$A:$Y,DT$2+1,FALSE),"")</f>
        <v>姚来朋</v>
      </c>
      <c r="DU11" s="124" t="str">
        <f>IFERROR(VLOOKUP(DU10,教师安排!$A:$Y,DU$2+1,FALSE),"")</f>
        <v>宋开元</v>
      </c>
      <c r="DV11" s="124" t="str">
        <f>IFERROR(VLOOKUP(DV10,教师安排!$A:$Y,DV$2+1,FALSE),"")</f>
        <v>周兴玲</v>
      </c>
      <c r="DW11" s="124" t="str">
        <f>IFERROR(VLOOKUP(DW10,教师安排!$A:$Y,DW$2+1,FALSE),"")</f>
        <v>孙存义</v>
      </c>
      <c r="DX11" s="124" t="str">
        <f>IFERROR(VLOOKUP(DX10,教师安排!$A:$Y,DX$2+1,FALSE),"")</f>
        <v>李振铎</v>
      </c>
      <c r="DY11" s="124" t="str">
        <f>IFERROR(VLOOKUP(DY10,教师安排!$A:$Y,DY$2+1,FALSE),"")</f>
        <v>韩丽梅</v>
      </c>
      <c r="DZ11" s="124" t="str">
        <f>IFERROR(VLOOKUP(DZ10,教师安排!$A:$Y,DZ$2+1,FALSE),"")</f>
        <v>高文凤</v>
      </c>
      <c r="EA11" s="124" t="str">
        <f>IFERROR(VLOOKUP(EA10,教师安排!$A:$Y,EA$2+1,FALSE),"")</f>
        <v>赵雪敏</v>
      </c>
      <c r="EB11" s="124" t="str">
        <f>IFERROR(VLOOKUP(EB10,教师安排!$A:$Y,EB$2+1,FALSE),"")</f>
        <v>胡存想</v>
      </c>
      <c r="EC11" s="124" t="str">
        <f>IFERROR(VLOOKUP(EC10,教师安排!$A:$Y,EC$2+1,FALSE),"")</f>
        <v>范林林</v>
      </c>
      <c r="ED11" s="124" t="str">
        <f>IFERROR(VLOOKUP(ED10,教师安排!$A:$Y,ED$2+1,FALSE),"")</f>
        <v>王雪莲</v>
      </c>
      <c r="EE11" s="124" t="str">
        <f>IFERROR(VLOOKUP(EE10,教师安排!$A:$Y,EE$2+1,FALSE),"")</f>
        <v>夏文杰</v>
      </c>
      <c r="EF11" s="124" t="str">
        <f>IFERROR(VLOOKUP(EF10,教师安排!$A:$Y,EF$2+1,FALSE),"")</f>
        <v>姜媛媛</v>
      </c>
      <c r="EG11" s="124" t="str">
        <f>IFERROR(VLOOKUP(EG10,教师安排!$A:$Y,EG$2+1,FALSE),"")</f>
        <v>孙秋杰</v>
      </c>
      <c r="EH11" s="124" t="str">
        <f>IFERROR(VLOOKUP(EH10,教师安排!$A:$Y,EH$2+1,FALSE),"")</f>
        <v/>
      </c>
      <c r="EI11" s="124" t="str">
        <f>IFERROR(VLOOKUP(EI10,教师安排!$A:$Y,EI$2+1,FALSE),"")</f>
        <v/>
      </c>
      <c r="EJ11" s="124" t="str">
        <f>IFERROR(VLOOKUP(EJ10,教师安排!$A:$Y,EJ$2+1,FALSE),"")</f>
        <v/>
      </c>
      <c r="EK11" s="124" t="str">
        <f>IFERROR(VLOOKUP(EK10,教师安排!$A:$Y,EK$2+1,FALSE),"")</f>
        <v/>
      </c>
      <c r="EL11" s="124"/>
      <c r="EM11" s="124" t="str">
        <f>IFERROR(VLOOKUP(EM10,教师安排!$A:$Y,EM$2+1,FALSE),"")</f>
        <v/>
      </c>
      <c r="EN11" s="124" t="str">
        <f>IFERROR(VLOOKUP(EN10,教师安排!$A:$Y,EN$2+1,FALSE),"")</f>
        <v/>
      </c>
      <c r="EO11" s="124" t="str">
        <f>IFERROR(VLOOKUP(EO10,教师安排!$A:$Y,EO$2+1,FALSE),"")</f>
        <v/>
      </c>
      <c r="EP11" s="124" t="str">
        <f>IFERROR(VLOOKUP(EP10,教师安排!$A:$Y,EP$2+1,FALSE),"")</f>
        <v/>
      </c>
      <c r="EQ11" s="123" t="str">
        <f>IFERROR(VLOOKUP(EQ10,教师安排!$A:$Y,EQ$2+1,FALSE),"")</f>
        <v>康波</v>
      </c>
      <c r="ER11" s="123" t="str">
        <f>IFERROR(VLOOKUP(ER10,教师安排!$A:$Y,ER$2+1,FALSE),"")</f>
        <v>张雨晴</v>
      </c>
      <c r="ES11" s="123" t="str">
        <f>IFERROR(VLOOKUP(ES10,教师安排!$A:$Y,ES$2+1,FALSE),"")</f>
        <v>杨彬</v>
      </c>
      <c r="ET11" s="123" t="str">
        <f>IFERROR(VLOOKUP(ET10,教师安排!$A:$Y,ET$2+1,FALSE),"")</f>
        <v>李会玲</v>
      </c>
      <c r="EU11" s="123" t="str">
        <f>IFERROR(VLOOKUP(EU10,教师安排!$A:$Y,EU$2+1,FALSE),"")</f>
        <v>刘腾</v>
      </c>
      <c r="EV11" s="123" t="str">
        <f>IFERROR(VLOOKUP(EV10,教师安排!$A:$Y,EV$2+1,FALSE),"")</f>
        <v>孙存义</v>
      </c>
      <c r="EW11" s="123" t="str">
        <f>IFERROR(VLOOKUP(EW10,教师安排!$A:$Y,EW$2+1,FALSE),"")</f>
        <v>马崇庆</v>
      </c>
      <c r="EX11" s="123" t="str">
        <f>IFERROR(VLOOKUP(EX10,教师安排!$A:$Y,EX$2+1,FALSE),"")</f>
        <v>孙秋杰</v>
      </c>
      <c r="EY11" s="123" t="str">
        <f>IFERROR(VLOOKUP(EY10,教师安排!$A:$Y,EY$2+1,FALSE),"")</f>
        <v>王硕</v>
      </c>
      <c r="EZ11" s="123" t="str">
        <f>IFERROR(VLOOKUP(EZ10,教师安排!$A:$Y,EZ$2+1,FALSE),"")</f>
        <v>董艳华</v>
      </c>
      <c r="FA11" s="123" t="str">
        <f>IFERROR(VLOOKUP(FA10,教师安排!$A:$Y,FA$2+1,FALSE),"")</f>
        <v>王/宋/翟/胡</v>
      </c>
      <c r="FB11" s="123" t="str">
        <f>IFERROR(VLOOKUP(FB10,教师安排!$A:$Y,FB$2+1,FALSE),"")</f>
        <v>韩/宋/翟/胡</v>
      </c>
      <c r="FC11" s="123" t="str">
        <f>IFERROR(VLOOKUP(FC10,教师安排!$A:$Y,FC$2+1,FALSE),"")</f>
        <v>宋/韩/王</v>
      </c>
      <c r="FD11" s="123" t="str">
        <f>IFERROR(VLOOKUP(FD10,教师安排!$A:$Y,FD$2+1,FALSE),"")</f>
        <v>翟/韩/王</v>
      </c>
      <c r="FE11" s="123" t="str">
        <f>IFERROR(VLOOKUP(FE10,教师安排!$A:$Y,FE$2+1,FALSE),"")</f>
        <v>胡/韩/王</v>
      </c>
      <c r="FF11" s="123" t="str">
        <f>IFERROR(VLOOKUP(FF10,教师安排!$A:$Y,FF$2+1,FALSE),"")</f>
        <v/>
      </c>
      <c r="FG11" s="123" t="str">
        <f>IFERROR(VLOOKUP(FG10,教师安排!$A:$Y,FG$2+1,FALSE),"")</f>
        <v/>
      </c>
      <c r="FH11" s="123" t="str">
        <f>IFERROR(VLOOKUP(FH10,教师安排!$A:$Y,FH$2+1,FALSE),"")</f>
        <v/>
      </c>
      <c r="FI11" s="123" t="str">
        <f>IFERROR(VLOOKUP(FI10,教师安排!$A:$Y,FI$2+1,FALSE),"")</f>
        <v/>
      </c>
      <c r="FJ11" s="123" t="str">
        <f>IFERROR(VLOOKUP(FJ10,教师安排!$A:$Y,FJ$2+1,FALSE),"")</f>
        <v>王灼</v>
      </c>
      <c r="FK11" s="123" t="str">
        <f>IFERROR(VLOOKUP(FK10,教师安排!$A:$Y,FK$2+1,FALSE),"")</f>
        <v>韩丽梅</v>
      </c>
      <c r="FL11" s="123" t="str">
        <f>IFERROR(VLOOKUP(FL10,教师安排!$A:$Y,FL$2+1,FALSE),"")</f>
        <v>宋平</v>
      </c>
      <c r="FM11" s="123" t="str">
        <f>IFERROR(VLOOKUP(FM10,教师安排!$A:$Y,FM$2+1,FALSE),"")</f>
        <v>翟淑玮</v>
      </c>
      <c r="FN11" s="123" t="str">
        <f>IFERROR(VLOOKUP(FN10,教师安排!$A:$Y,FN$2+1,FALSE),"")</f>
        <v>胡存想</v>
      </c>
      <c r="FO11" s="126" t="str">
        <f>IFERROR(VLOOKUP(FO10,教师安排!$A:$Y,FO$2+1,FALSE),"")</f>
        <v>李冰慧</v>
      </c>
      <c r="FP11" s="126" t="str">
        <f>IFERROR(VLOOKUP(FP10,教师安排!$A:$Y,FP$2+1,FALSE),"")</f>
        <v>田凤美</v>
      </c>
      <c r="FQ11" s="126" t="str">
        <f>IFERROR(VLOOKUP(FQ10,教师安排!$A:$Y,FQ$2+1,FALSE),"")</f>
        <v>王庆超</v>
      </c>
      <c r="FR11" s="126" t="str">
        <f>IFERROR(VLOOKUP(FR10,教师安排!$A:$Y,FR$2+1,FALSE),"")</f>
        <v>张喆</v>
      </c>
      <c r="FS11" s="126" t="str">
        <f>IFERROR(VLOOKUP(FS10,教师安排!$A:$Y,FS$2+1,FALSE),"")</f>
        <v>袁奇</v>
      </c>
      <c r="FT11" s="126" t="str">
        <f>IFERROR(VLOOKUP(FT10,教师安排!$A:$Y,FT$2+1,FALSE),"")</f>
        <v>李振铎</v>
      </c>
      <c r="FU11" s="126" t="str">
        <f>IFERROR(VLOOKUP(FU10,教师安排!$A:$Y,FU$2+1,FALSE),"")</f>
        <v>孙存义</v>
      </c>
      <c r="FV11" s="126" t="str">
        <f>IFERROR(VLOOKUP(FV10,教师安排!$A:$Y,FV$2+1,FALSE),"")</f>
        <v>宋开元</v>
      </c>
      <c r="FW11" s="126" t="str">
        <f>IFERROR(VLOOKUP(FW10,教师安排!$A:$Y,FW$2+1,FALSE),"")</f>
        <v>赵雪敏</v>
      </c>
      <c r="FX11" s="126" t="str">
        <f>IFERROR(VLOOKUP(FX10,教师安排!$A:$Y,FX$2+1,FALSE),"")</f>
        <v>董艳华</v>
      </c>
      <c r="FY11" s="126" t="str">
        <f>IFERROR(VLOOKUP(FY10,教师安排!$A:$Y,FY$2+1,FALSE),"")</f>
        <v>王/宋/翟/胡</v>
      </c>
      <c r="FZ11" s="126" t="str">
        <f>IFERROR(VLOOKUP(FZ10,教师安排!$A:$Y,FZ$2+1,FALSE),"")</f>
        <v>韩/宋/翟/胡</v>
      </c>
      <c r="GA11" s="126" t="str">
        <f>IFERROR(VLOOKUP(GA10,教师安排!$A:$Y,GA$2+1,FALSE),"")</f>
        <v>宋/韩/王</v>
      </c>
      <c r="GB11" s="126" t="str">
        <f>IFERROR(VLOOKUP(GB10,教师安排!$A:$Y,GB$2+1,FALSE),"")</f>
        <v>翟/韩/王</v>
      </c>
      <c r="GC11" s="126" t="str">
        <f>IFERROR(VLOOKUP(GC10,教师安排!$A:$Y,GC$2+1,FALSE),"")</f>
        <v>胡/韩/王</v>
      </c>
      <c r="GD11" s="126" t="str">
        <f>IFERROR(VLOOKUP(GD10,教师安排!$A:$Y,GD$2+1,FALSE),"")</f>
        <v/>
      </c>
      <c r="GE11" s="126" t="str">
        <f>IFERROR(VLOOKUP(GE10,教师安排!$A:$Y,GE$2+1,FALSE),"")</f>
        <v/>
      </c>
      <c r="GF11" s="126" t="str">
        <f>IFERROR(VLOOKUP(GF10,教师安排!$A:$Y,GF$2+1,FALSE),"")</f>
        <v/>
      </c>
      <c r="GG11" s="126" t="str">
        <f>IFERROR(VLOOKUP(GG10,教师安排!$A:$Y,GG$2+1,FALSE),"")</f>
        <v/>
      </c>
      <c r="GH11" s="126" t="str">
        <f>IFERROR(VLOOKUP(GH10,教师安排!$A:$Y,GH$2+1,FALSE),"")</f>
        <v>王灼</v>
      </c>
      <c r="GI11" s="126" t="str">
        <f>IFERROR(VLOOKUP(GI10,教师安排!$A:$Y,GI$2+1,FALSE),"")</f>
        <v>韩丽梅</v>
      </c>
      <c r="GJ11" s="126" t="str">
        <f>IFERROR(VLOOKUP(GJ10,教师安排!$A:$Y,GJ$2+1,FALSE),"")</f>
        <v>宋平</v>
      </c>
      <c r="GK11" s="126" t="str">
        <f>IFERROR(VLOOKUP(GK10,教师安排!$A:$Y,GK$2+1,FALSE),"")</f>
        <v>翟淑玮</v>
      </c>
      <c r="GL11" s="126" t="str">
        <f>IFERROR(VLOOKUP(GL10,教师安排!$A:$Y,GL$2+1,FALSE),"")</f>
        <v>胡存想</v>
      </c>
      <c r="GM11" s="125" t="str">
        <f>IFERROR(VLOOKUP(GM10,教师安排!$A:$Y,GM$2+1,FALSE),"")</f>
        <v>刘珊珊</v>
      </c>
      <c r="GN11" s="125" t="str">
        <f>IFERROR(VLOOKUP(GN10,教师安排!$A:$Y,GN$2+1,FALSE),"")</f>
        <v>王庆超</v>
      </c>
      <c r="GO11" s="125" t="str">
        <f>IFERROR(VLOOKUP(GO10,教师安排!$A:$Y,GO$2+1,FALSE),"")</f>
        <v>杨彬</v>
      </c>
      <c r="GP11" s="125" t="str">
        <f>IFERROR(VLOOKUP(GP10,教师安排!$A:$Y,GP$2+1,FALSE),"")</f>
        <v>康波</v>
      </c>
      <c r="GQ11" s="125" t="str">
        <f>IFERROR(VLOOKUP(GQ10,教师安排!$A:$Y,GQ$2+1,FALSE),"")</f>
        <v>刘腾</v>
      </c>
      <c r="GR11" s="125" t="str">
        <f>IFERROR(VLOOKUP(GR10,教师安排!$A:$Y,GR$2+1,FALSE),"")</f>
        <v>李振铎</v>
      </c>
      <c r="GS11" s="125" t="str">
        <f>IFERROR(VLOOKUP(GS10,教师安排!$A:$Y,GS$2+1,FALSE),"")</f>
        <v>马崇庆</v>
      </c>
      <c r="GT11" s="125" t="str">
        <f>IFERROR(VLOOKUP(GT10,教师安排!$A:$Y,GT$2+1,FALSE),"")</f>
        <v>张喆</v>
      </c>
      <c r="GU11" s="125" t="str">
        <f>IFERROR(VLOOKUP(GU10,教师安排!$A:$Y,GU$2+1,FALSE),"")</f>
        <v>王硕</v>
      </c>
      <c r="GV11" s="125" t="str">
        <f>IFERROR(VLOOKUP(GV10,教师安排!$A:$Y,GV$2+1,FALSE),"")</f>
        <v>刘天骄</v>
      </c>
      <c r="GW11" s="125" t="str">
        <f>IFERROR(VLOOKUP(GW10,教师安排!$A:$Y,GW$2+1,FALSE),"")</f>
        <v>王/宋/翟/胡</v>
      </c>
      <c r="GX11" s="125" t="str">
        <f>IFERROR(VLOOKUP(GX10,教师安排!$A:$Y,GX$2+1,FALSE),"")</f>
        <v>韩/宋/翟/胡</v>
      </c>
      <c r="GY11" s="125" t="str">
        <f>IFERROR(VLOOKUP(GY10,教师安排!$A:$Y,GY$2+1,FALSE),"")</f>
        <v>宋/韩/王</v>
      </c>
      <c r="GZ11" s="125" t="str">
        <f>IFERROR(VLOOKUP(GZ10,教师安排!$A:$Y,GZ$2+1,FALSE),"")</f>
        <v>翟/韩/王</v>
      </c>
      <c r="HA11" s="125" t="str">
        <f>IFERROR(VLOOKUP(HA10,教师安排!$A:$Y,HA$2+1,FALSE),"")</f>
        <v>胡/韩/王</v>
      </c>
      <c r="HB11" s="125" t="str">
        <f>IFERROR(VLOOKUP(HB10,教师安排!$A:$Y,HB$2+1,FALSE),"")</f>
        <v/>
      </c>
      <c r="HC11" s="125" t="str">
        <f>IFERROR(VLOOKUP(HC10,教师安排!$A:$Y,HC$2+1,FALSE),"")</f>
        <v/>
      </c>
      <c r="HD11" s="125" t="str">
        <f>IFERROR(VLOOKUP(HD10,教师安排!$A:$Y,HD$2+1,FALSE),"")</f>
        <v/>
      </c>
      <c r="HE11" s="125" t="str">
        <f>IFERROR(VLOOKUP(HE10,教师安排!$A:$Y,HE$2+1,FALSE),"")</f>
        <v/>
      </c>
      <c r="HF11" s="125" t="str">
        <f>IFERROR(VLOOKUP(HF10,教师安排!$A:$Y,HF$2+1,FALSE),"")</f>
        <v>王灼</v>
      </c>
      <c r="HG11" s="125" t="str">
        <f>IFERROR(VLOOKUP(HG10,教师安排!$A:$Y,HG$2+1,FALSE),"")</f>
        <v>韩丽梅</v>
      </c>
      <c r="HH11" s="125" t="str">
        <f>IFERROR(VLOOKUP(HH10,教师安排!$A:$Y,HH$2+1,FALSE),"")</f>
        <v>宋平</v>
      </c>
      <c r="HI11" s="125" t="str">
        <f>IFERROR(VLOOKUP(HI10,教师安排!$A:$Y,HI$2+1,FALSE),"")</f>
        <v>翟淑玮</v>
      </c>
      <c r="HJ11" s="125" t="str">
        <f>IFERROR(VLOOKUP(HJ10,教师安排!$A:$Y,HJ$2+1,FALSE),"")</f>
        <v>胡存想</v>
      </c>
      <c r="HK11" s="126" t="str">
        <f>IFERROR(VLOOKUP(HK10,教师安排!$A:$Y,HK$2+1,FALSE),"")</f>
        <v>侯淑贤</v>
      </c>
      <c r="HL11" s="126" t="str">
        <f>IFERROR(VLOOKUP(HL10,教师安排!$A:$Y,HL$2+1,FALSE),"")</f>
        <v>张雨晴</v>
      </c>
      <c r="HM11" s="126" t="str">
        <f>IFERROR(VLOOKUP(HM10,教师安排!$A:$Y,HM$2+1,FALSE),"")</f>
        <v>张雯皓</v>
      </c>
      <c r="HN11" s="126" t="str">
        <f>IFERROR(VLOOKUP(HN10,教师安排!$A:$Y,HN$2+1,FALSE),"")</f>
        <v>史振塞</v>
      </c>
      <c r="HO11" s="126" t="str">
        <f>IFERROR(VLOOKUP(HO10,教师安排!$A:$Y,HO$2+1,FALSE),"")</f>
        <v>孙存义</v>
      </c>
      <c r="HP11" s="126" t="str">
        <f>IFERROR(VLOOKUP(HP10,教师安排!$A:$Y,HP$2+1,FALSE),"")</f>
        <v>刘天骄</v>
      </c>
      <c r="HQ11" s="126" t="str">
        <f>IFERROR(VLOOKUP(HQ10,教师安排!$A:$Y,HQ$2+1,FALSE),"")</f>
        <v>王雪莲</v>
      </c>
      <c r="HR11" s="126" t="str">
        <f>IFERROR(VLOOKUP(HR10,教师安排!$A:$Y,HR$2+1,FALSE),"")</f>
        <v>康波</v>
      </c>
      <c r="HS11" s="126" t="str">
        <f>IFERROR(VLOOKUP(HS10,教师安排!$A:$Y,HS$2+1,FALSE),"")</f>
        <v>袁奇</v>
      </c>
      <c r="HT11" s="126" t="str">
        <f>IFERROR(VLOOKUP(HT10,教师安排!$A:$Y,HT$2+1,FALSE),"")</f>
        <v>董艳华</v>
      </c>
      <c r="HU11" s="126" t="str">
        <f>IFERROR(VLOOKUP(HU10,教师安排!$A:$Y,HU$2+1,FALSE),"")</f>
        <v>田凤美</v>
      </c>
      <c r="HV11" s="126" t="str">
        <f>IFERROR(VLOOKUP(HV10,教师安排!$A:$Y,HV$2+1,FALSE),"")</f>
        <v>孙显阳</v>
      </c>
      <c r="HW11" s="126" t="str">
        <f>IFERROR(VLOOKUP(HW10,教师安排!$A:$Y,HW$2+1,FALSE),"")</f>
        <v>王菲</v>
      </c>
      <c r="HX11" s="126" t="str">
        <f>IFERROR(VLOOKUP(HX10,教师安排!$A:$Y,HX$2+1,FALSE),"")</f>
        <v>孙锦锦</v>
      </c>
      <c r="HY11" s="126" t="str">
        <f>IFERROR(VLOOKUP(HY10,教师安排!$A:$Y,HY$2+1,FALSE),"")</f>
        <v>孙秋杰</v>
      </c>
      <c r="HZ11" s="126" t="str">
        <f>IFERROR(VLOOKUP(HZ10,教师安排!$A:$Y,HZ$2+1,FALSE),"")</f>
        <v/>
      </c>
      <c r="IA11" s="126" t="str">
        <f>IFERROR(VLOOKUP(IA10,教师安排!$A:$Y,IA$2+1,FALSE),"")</f>
        <v/>
      </c>
      <c r="IB11" s="126" t="str">
        <f>IFERROR(VLOOKUP(IB10,教师安排!$A:$Y,IB$2+1,FALSE),"")</f>
        <v/>
      </c>
      <c r="IC11" s="126" t="str">
        <f>IFERROR(VLOOKUP(IC10,教师安排!$A:$Y,IC$2+1,FALSE),"")</f>
        <v/>
      </c>
      <c r="ID11" s="126" t="str">
        <f>IFERROR(VLOOKUP(ID10,教师安排!$A:$Y,ID$2+1,FALSE),"")</f>
        <v/>
      </c>
      <c r="IE11" s="126" t="str">
        <f>IFERROR(VLOOKUP(IE10,教师安排!$A:$Y,IE$2+1,FALSE),"")</f>
        <v/>
      </c>
      <c r="IF11" s="126" t="str">
        <f>IFERROR(VLOOKUP(IF10,教师安排!$A:$Y,IF$2+1,FALSE),"")</f>
        <v/>
      </c>
      <c r="IG11" s="126" t="str">
        <f>IFERROR(VLOOKUP(IG10,教师安排!$A:$Y,IG$2+1,FALSE),"")</f>
        <v/>
      </c>
      <c r="IH11" s="126" t="str">
        <f>IFERROR(VLOOKUP(IH10,教师安排!$A:$Y,IH$2+1,FALSE),"")</f>
        <v/>
      </c>
      <c r="II11" s="125" t="str">
        <f>IFERROR(VLOOKUP(II10,教师安排!$A:$Y,II$2+1,FALSE),"")</f>
        <v>马崇庆</v>
      </c>
      <c r="IJ11" s="125" t="str">
        <f>IFERROR(VLOOKUP(IJ10,教师安排!$A:$Y,IJ$2+1,FALSE),"")</f>
        <v>李冰慧</v>
      </c>
      <c r="IK11" s="125" t="str">
        <f>IFERROR(VLOOKUP(IK10,教师安排!$A:$Y,IK$2+1,FALSE),"")</f>
        <v>张雯皓</v>
      </c>
      <c r="IL11" s="125" t="str">
        <f>IFERROR(VLOOKUP(IL10,教师安排!$A:$Y,IL$2+1,FALSE),"")</f>
        <v>李会玲</v>
      </c>
      <c r="IM11" s="125" t="str">
        <f>IFERROR(VLOOKUP(IM10,教师安排!$A:$Y,IM$2+1,FALSE),"")</f>
        <v>孙存义</v>
      </c>
      <c r="IN11" s="125" t="str">
        <f>IFERROR(VLOOKUP(IN10,教师安排!$A:$Y,IN$2+1,FALSE),"")</f>
        <v>王露</v>
      </c>
      <c r="IO11" s="125" t="str">
        <f>IFERROR(VLOOKUP(IO10,教师安排!$A:$Y,IO$2+1,FALSE),"")</f>
        <v>范林林</v>
      </c>
      <c r="IP11" s="125" t="str">
        <f>IFERROR(VLOOKUP(IP10,教师安排!$A:$Y,IP$2+1,FALSE),"")</f>
        <v>路睿</v>
      </c>
      <c r="IQ11" s="125" t="str">
        <f>IFERROR(VLOOKUP(IQ10,教师安排!$A:$Y,IQ$2+1,FALSE),"")</f>
        <v>王硕</v>
      </c>
      <c r="IR11" s="125" t="str">
        <f>IFERROR(VLOOKUP(IR10,教师安排!$A:$Y,IR$2+1,FALSE),"")</f>
        <v>蒋心言</v>
      </c>
      <c r="IS11" s="125" t="str">
        <f>IFERROR(VLOOKUP(IS10,教师安排!$A:$Y,IS$2+1,FALSE),"")</f>
        <v>王/宋/翟/胡</v>
      </c>
      <c r="IT11" s="125" t="str">
        <f>IFERROR(VLOOKUP(IT10,教师安排!$A:$Y,IT$2+1,FALSE),"")</f>
        <v>韩/宋/翟/胡</v>
      </c>
      <c r="IU11" s="125" t="str">
        <f>IFERROR(VLOOKUP(IU10,教师安排!$A:$Y,IU$2+1,FALSE),"")</f>
        <v>宋/韩/王</v>
      </c>
      <c r="IV11" s="125" t="str">
        <f>IFERROR(VLOOKUP(IV10,教师安排!$A:$Y,IV$2+1,FALSE),"")</f>
        <v>翟/韩/王</v>
      </c>
      <c r="IW11" s="125" t="str">
        <f>IFERROR(VLOOKUP(IW10,教师安排!$A:$Y,IW$2+1,FALSE),"")</f>
        <v>胡/韩/王</v>
      </c>
      <c r="IX11" s="125" t="str">
        <f>IFERROR(VLOOKUP(IX10,教师安排!$A:$Y,IX$2+1,FALSE),"")</f>
        <v/>
      </c>
      <c r="IY11" s="125" t="str">
        <f>IFERROR(VLOOKUP(IY10,教师安排!$A:$Y,IY$2+1,FALSE),"")</f>
        <v/>
      </c>
      <c r="IZ11" s="125" t="str">
        <f>IFERROR(VLOOKUP(IZ10,教师安排!$A:$Y,IZ$2+1,FALSE),"")</f>
        <v/>
      </c>
      <c r="JA11" s="125" t="str">
        <f>IFERROR(VLOOKUP(JA10,教师安排!$A:$Y,JA$2+1,FALSE),"")</f>
        <v/>
      </c>
      <c r="JB11" s="125" t="str">
        <f>IFERROR(VLOOKUP(JB10,教师安排!$A:$Y,JB$2+1,FALSE),"")</f>
        <v>王灼</v>
      </c>
      <c r="JC11" s="125" t="str">
        <f>IFERROR(VLOOKUP(JC10,教师安排!$A:$Y,JC$2+1,FALSE),"")</f>
        <v>韩丽梅</v>
      </c>
      <c r="JD11" s="125" t="str">
        <f>IFERROR(VLOOKUP(JD10,教师安排!$A:$Y,JD$2+1,FALSE),"")</f>
        <v>宋平</v>
      </c>
      <c r="JE11" s="125" t="str">
        <f>IFERROR(VLOOKUP(JE10,教师安排!$A:$Y,JE$2+1,FALSE),"")</f>
        <v>翟淑玮</v>
      </c>
      <c r="JF11" s="125" t="str">
        <f>IFERROR(VLOOKUP(JF10,教师安排!$A:$Y,JF$2+1,FALSE),"")</f>
        <v>胡存想</v>
      </c>
      <c r="JG11" s="126" t="str">
        <f>IFERROR(VLOOKUP(JG10,教师安排!$A:$Y,JG$2+1,FALSE),"")</f>
        <v>王庆超</v>
      </c>
      <c r="JH11" s="126" t="str">
        <f>IFERROR(VLOOKUP(JH10,教师安排!$A:$Y,JH$2+1,FALSE),"")</f>
        <v>田凤美</v>
      </c>
      <c r="JI11" s="126" t="str">
        <f>IFERROR(VLOOKUP(JI10,教师安排!$A:$Y,JI$2+1,FALSE),"")</f>
        <v>李会玲</v>
      </c>
      <c r="JJ11" s="126" t="str">
        <f>IFERROR(VLOOKUP(JJ10,教师安排!$A:$Y,JJ$2+1,FALSE),"")</f>
        <v>马崇庆</v>
      </c>
      <c r="JK11" s="126" t="str">
        <f>IFERROR(VLOOKUP(JK10,教师安排!$A:$Y,JK$2+1,FALSE),"")</f>
        <v>孙存义</v>
      </c>
      <c r="JL11" s="126" t="str">
        <f>IFERROR(VLOOKUP(JL10,教师安排!$A:$Y,JL$2+1,FALSE),"")</f>
        <v>姜媛媛</v>
      </c>
      <c r="JM11" s="126" t="str">
        <f>IFERROR(VLOOKUP(JM10,教师安排!$A:$Y,JM$2+1,FALSE),"")</f>
        <v>袁奇</v>
      </c>
      <c r="JN11" s="126" t="str">
        <f>IFERROR(VLOOKUP(JN10,教师安排!$A:$Y,JN$2+1,FALSE),"")</f>
        <v>孙秋杰</v>
      </c>
      <c r="JO11" s="126" t="str">
        <f>IFERROR(VLOOKUP(JO10,教师安排!$A:$Y,JO$2+1,FALSE),"")</f>
        <v>孙显阳</v>
      </c>
      <c r="JP11" s="126" t="str">
        <f>IFERROR(VLOOKUP(JP10,教师安排!$A:$Y,JP$2+1,FALSE),"")</f>
        <v>刘天骄</v>
      </c>
      <c r="JQ11" s="126" t="str">
        <f>IFERROR(VLOOKUP(JQ10,教师安排!$A:$Y,JQ$2+1,FALSE),"")</f>
        <v>王/宋/翟/胡</v>
      </c>
      <c r="JR11" s="126" t="str">
        <f>IFERROR(VLOOKUP(JR10,教师安排!$A:$Y,JR$2+1,FALSE),"")</f>
        <v>韩/宋/翟/胡</v>
      </c>
      <c r="JS11" s="126" t="str">
        <f>IFERROR(VLOOKUP(JS10,教师安排!$A:$Y,JS$2+1,FALSE),"")</f>
        <v>宋/韩/王</v>
      </c>
      <c r="JT11" s="126" t="str">
        <f>IFERROR(VLOOKUP(JT10,教师安排!$A:$Y,JT$2+1,FALSE),"")</f>
        <v>翟/韩/王</v>
      </c>
      <c r="JU11" s="126" t="str">
        <f>IFERROR(VLOOKUP(JU10,教师安排!$A:$Y,JU$2+1,FALSE),"")</f>
        <v>胡/韩/王</v>
      </c>
      <c r="JV11" s="126" t="str">
        <f>IFERROR(VLOOKUP(JV10,教师安排!$A:$Y,JV$2+1,FALSE),"")</f>
        <v/>
      </c>
      <c r="JW11" s="126" t="str">
        <f>IFERROR(VLOOKUP(JW10,教师安排!$A:$Y,JW$2+1,FALSE),"")</f>
        <v/>
      </c>
      <c r="JX11" s="126" t="str">
        <f>IFERROR(VLOOKUP(JX10,教师安排!$A:$Y,JX$2+1,FALSE),"")</f>
        <v/>
      </c>
      <c r="JY11" s="126" t="str">
        <f>IFERROR(VLOOKUP(JY10,教师安排!$A:$Y,JY$2+1,FALSE),"")</f>
        <v/>
      </c>
      <c r="JZ11" s="126" t="str">
        <f>IFERROR(VLOOKUP(JZ10,教师安排!$A:$Y,JZ$2+1,FALSE),"")</f>
        <v>王灼</v>
      </c>
      <c r="KA11" s="126" t="str">
        <f>IFERROR(VLOOKUP(KA10,教师安排!$A:$Y,KA$2+1,FALSE),"")</f>
        <v>韩丽梅</v>
      </c>
      <c r="KB11" s="126" t="str">
        <f>IFERROR(VLOOKUP(KB10,教师安排!$A:$Y,KB$2+1,FALSE),"")</f>
        <v>宋平</v>
      </c>
      <c r="KC11" s="126" t="str">
        <f>IFERROR(VLOOKUP(KC10,教师安排!$A:$Y,KC$2+1,FALSE),"")</f>
        <v>翟淑玮</v>
      </c>
      <c r="KD11" s="126" t="str">
        <f>IFERROR(VLOOKUP(KD10,教师安排!$A:$Y,KD$2+1,FALSE),"")</f>
        <v>胡存想</v>
      </c>
    </row>
    <row r="12" spans="1:290" s="117" customFormat="1" ht="20" customHeight="1" x14ac:dyDescent="0.3">
      <c r="A12" s="145"/>
      <c r="B12" s="143" t="s">
        <v>161</v>
      </c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2"/>
      <c r="BX12" s="122"/>
      <c r="BY12" s="122"/>
      <c r="BZ12" s="122"/>
      <c r="CA12" s="122"/>
      <c r="CB12" s="122"/>
      <c r="CC12" s="122"/>
      <c r="CD12" s="122"/>
      <c r="CE12" s="122"/>
      <c r="CF12" s="122"/>
      <c r="CG12" s="122"/>
      <c r="CH12" s="122"/>
      <c r="CI12" s="122"/>
      <c r="CJ12" s="122"/>
      <c r="CK12" s="122"/>
      <c r="CL12" s="122"/>
      <c r="CM12" s="122"/>
      <c r="CN12" s="122"/>
      <c r="CO12" s="122"/>
      <c r="CP12" s="122"/>
      <c r="CQ12" s="122"/>
      <c r="CR12" s="122"/>
      <c r="CS12" s="122"/>
      <c r="CT12" s="122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  <c r="DK12" s="121"/>
      <c r="DL12" s="121"/>
      <c r="DM12" s="121"/>
      <c r="DN12" s="121"/>
      <c r="DO12" s="121"/>
      <c r="DP12" s="121"/>
      <c r="DQ12" s="121"/>
      <c r="DR12" s="121"/>
      <c r="DS12" s="122"/>
      <c r="DT12" s="122"/>
      <c r="DU12" s="122"/>
      <c r="DV12" s="122"/>
      <c r="DW12" s="122"/>
      <c r="DX12" s="122"/>
      <c r="DY12" s="122"/>
      <c r="DZ12" s="122"/>
      <c r="EA12" s="122"/>
      <c r="EB12" s="122"/>
      <c r="EC12" s="122"/>
      <c r="ED12" s="122"/>
      <c r="EE12" s="122"/>
      <c r="EF12" s="122"/>
      <c r="EG12" s="122"/>
      <c r="EH12" s="122"/>
      <c r="EI12" s="122"/>
      <c r="EJ12" s="122"/>
      <c r="EK12" s="122"/>
      <c r="EL12" s="122"/>
      <c r="EM12" s="122"/>
      <c r="EN12" s="122"/>
      <c r="EO12" s="122"/>
      <c r="EP12" s="122"/>
      <c r="EQ12" s="121"/>
      <c r="ER12" s="121"/>
      <c r="ES12" s="121"/>
      <c r="ET12" s="121"/>
      <c r="EU12" s="121"/>
      <c r="EV12" s="121"/>
      <c r="EW12" s="121"/>
      <c r="EX12" s="121"/>
      <c r="EY12" s="121"/>
      <c r="EZ12" s="121"/>
      <c r="FA12" s="121"/>
      <c r="FB12" s="121"/>
      <c r="FC12" s="121"/>
      <c r="FD12" s="121"/>
      <c r="FE12" s="121"/>
      <c r="FF12" s="121"/>
      <c r="FG12" s="121"/>
      <c r="FH12" s="121"/>
      <c r="FI12" s="121"/>
      <c r="FJ12" s="121"/>
      <c r="FK12" s="121"/>
      <c r="FL12" s="121"/>
      <c r="FM12" s="121"/>
      <c r="FN12" s="121"/>
      <c r="FO12" s="122"/>
      <c r="FP12" s="122"/>
      <c r="FQ12" s="122"/>
      <c r="FR12" s="122"/>
      <c r="FS12" s="122"/>
      <c r="FT12" s="122"/>
      <c r="FU12" s="122"/>
      <c r="FV12" s="122"/>
      <c r="FW12" s="122"/>
      <c r="FX12" s="122"/>
      <c r="FY12" s="122"/>
      <c r="FZ12" s="122"/>
      <c r="GA12" s="122"/>
      <c r="GB12" s="122"/>
      <c r="GC12" s="122"/>
      <c r="GD12" s="122"/>
      <c r="GE12" s="122"/>
      <c r="GF12" s="122"/>
      <c r="GG12" s="122"/>
      <c r="GH12" s="122"/>
      <c r="GI12" s="122"/>
      <c r="GJ12" s="122"/>
      <c r="GK12" s="122"/>
      <c r="GL12" s="122"/>
      <c r="GM12" s="121"/>
      <c r="GN12" s="121"/>
      <c r="GO12" s="121"/>
      <c r="GP12" s="121"/>
      <c r="GQ12" s="121"/>
      <c r="GR12" s="121"/>
      <c r="GS12" s="121"/>
      <c r="GT12" s="121"/>
      <c r="GU12" s="121"/>
      <c r="GV12" s="121"/>
      <c r="GW12" s="121"/>
      <c r="GX12" s="121"/>
      <c r="GY12" s="121"/>
      <c r="GZ12" s="121"/>
      <c r="HA12" s="121"/>
      <c r="HB12" s="121"/>
      <c r="HC12" s="121"/>
      <c r="HD12" s="121"/>
      <c r="HE12" s="121"/>
      <c r="HF12" s="121"/>
      <c r="HG12" s="121"/>
      <c r="HH12" s="121"/>
      <c r="HI12" s="121"/>
      <c r="HJ12" s="121"/>
      <c r="HK12" s="122"/>
      <c r="HL12" s="122"/>
      <c r="HM12" s="122"/>
      <c r="HN12" s="122"/>
      <c r="HO12" s="122"/>
      <c r="HP12" s="122"/>
      <c r="HQ12" s="122"/>
      <c r="HR12" s="122"/>
      <c r="HS12" s="122"/>
      <c r="HT12" s="122"/>
      <c r="HU12" s="122"/>
      <c r="HV12" s="122"/>
      <c r="HW12" s="122"/>
      <c r="HX12" s="122"/>
      <c r="HY12" s="122"/>
      <c r="HZ12" s="122"/>
      <c r="IA12" s="122"/>
      <c r="IB12" s="122"/>
      <c r="IC12" s="122"/>
      <c r="ID12" s="122"/>
      <c r="IE12" s="122"/>
      <c r="IF12" s="122"/>
      <c r="IG12" s="122"/>
      <c r="IH12" s="122"/>
      <c r="II12" s="121"/>
      <c r="IJ12" s="121"/>
      <c r="IK12" s="121"/>
      <c r="IL12" s="121"/>
      <c r="IM12" s="121"/>
      <c r="IN12" s="121"/>
      <c r="IO12" s="121"/>
      <c r="IP12" s="121"/>
      <c r="IQ12" s="121"/>
      <c r="IR12" s="121"/>
      <c r="IS12" s="121"/>
      <c r="IT12" s="121"/>
      <c r="IU12" s="121"/>
      <c r="IV12" s="121"/>
      <c r="IW12" s="121"/>
      <c r="IX12" s="121"/>
      <c r="IY12" s="121"/>
      <c r="IZ12" s="121"/>
      <c r="JA12" s="121"/>
      <c r="JB12" s="121"/>
      <c r="JC12" s="121"/>
      <c r="JD12" s="121"/>
      <c r="JE12" s="121"/>
      <c r="JF12" s="121"/>
      <c r="JG12" s="122"/>
      <c r="JH12" s="122"/>
      <c r="JI12" s="122"/>
      <c r="JJ12" s="122"/>
      <c r="JK12" s="122"/>
      <c r="JL12" s="122"/>
      <c r="JM12" s="122"/>
      <c r="JN12" s="122"/>
      <c r="JO12" s="122"/>
      <c r="JP12" s="122"/>
      <c r="JQ12" s="122"/>
      <c r="JR12" s="122"/>
      <c r="JS12" s="122"/>
      <c r="JT12" s="122"/>
      <c r="JU12" s="122"/>
      <c r="JV12" s="122"/>
      <c r="JW12" s="122"/>
      <c r="JX12" s="122"/>
      <c r="JY12" s="122"/>
      <c r="JZ12" s="122"/>
      <c r="KA12" s="122"/>
      <c r="KB12" s="122"/>
      <c r="KC12" s="122"/>
      <c r="KD12" s="122"/>
    </row>
    <row r="13" spans="1:290" s="117" customFormat="1" ht="24" customHeight="1" x14ac:dyDescent="0.4">
      <c r="A13" s="145"/>
      <c r="B13" s="143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  <c r="AW13" s="126"/>
      <c r="AX13" s="126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N13" s="127"/>
      <c r="BO13" s="127"/>
      <c r="BP13" s="127"/>
      <c r="BQ13" s="127"/>
      <c r="BR13" s="125"/>
      <c r="BS13" s="125"/>
      <c r="BT13" s="125"/>
      <c r="BU13" s="125"/>
      <c r="BV13" s="125"/>
      <c r="BW13" s="126"/>
      <c r="BX13" s="126"/>
      <c r="BY13" s="126"/>
      <c r="BZ13" s="126"/>
      <c r="CA13" s="126"/>
      <c r="CB13" s="126"/>
      <c r="CC13" s="126"/>
      <c r="CD13" s="126"/>
      <c r="CE13" s="126"/>
      <c r="CF13" s="126"/>
      <c r="CG13" s="126"/>
      <c r="CH13" s="126"/>
      <c r="CI13" s="126"/>
      <c r="CJ13" s="126"/>
      <c r="CK13" s="126"/>
      <c r="CL13" s="126"/>
      <c r="CM13" s="126"/>
      <c r="CN13" s="126"/>
      <c r="CO13" s="126"/>
      <c r="CP13" s="126"/>
      <c r="CQ13" s="126"/>
      <c r="CR13" s="126"/>
      <c r="CS13" s="126"/>
      <c r="CT13" s="126"/>
      <c r="CU13" s="125"/>
      <c r="CV13" s="125"/>
      <c r="CW13" s="125"/>
      <c r="CX13" s="125"/>
      <c r="CY13" s="125"/>
      <c r="CZ13" s="125"/>
      <c r="DA13" s="125"/>
      <c r="DB13" s="125"/>
      <c r="DC13" s="125"/>
      <c r="DD13" s="125"/>
      <c r="DE13" s="125"/>
      <c r="DF13" s="125"/>
      <c r="DG13" s="125"/>
      <c r="DH13" s="125"/>
      <c r="DI13" s="125"/>
      <c r="DJ13" s="125"/>
      <c r="DK13" s="125"/>
      <c r="DL13" s="125"/>
      <c r="DM13" s="125"/>
      <c r="DN13" s="125"/>
      <c r="DO13" s="125"/>
      <c r="DP13" s="125"/>
      <c r="DQ13" s="125"/>
      <c r="DR13" s="125"/>
      <c r="DS13" s="126" t="str">
        <f>IFERROR(VLOOKUP(DS12,教师安排!$A:$Y,DS$2+1,FALSE),"")</f>
        <v/>
      </c>
      <c r="DT13" s="126" t="str">
        <f>IFERROR(VLOOKUP(DT12,教师安排!$A:$Y,DT$2+1,FALSE),"")</f>
        <v/>
      </c>
      <c r="DU13" s="126" t="str">
        <f>IFERROR(VLOOKUP(DU12,教师安排!$A:$Y,DU$2+1,FALSE),"")</f>
        <v/>
      </c>
      <c r="DV13" s="126" t="str">
        <f>IFERROR(VLOOKUP(DV12,教师安排!$A:$Y,DV$2+1,FALSE),"")</f>
        <v/>
      </c>
      <c r="DW13" s="126" t="str">
        <f>IFERROR(VLOOKUP(DW12,教师安排!$A:$Y,DW$2+1,FALSE),"")</f>
        <v/>
      </c>
      <c r="DX13" s="126" t="str">
        <f>IFERROR(VLOOKUP(DX12,教师安排!$A:$Y,DX$2+1,FALSE),"")</f>
        <v/>
      </c>
      <c r="DY13" s="126" t="str">
        <f>IFERROR(VLOOKUP(DY12,教师安排!$A:$Y,DY$2+1,FALSE),"")</f>
        <v/>
      </c>
      <c r="DZ13" s="126" t="str">
        <f>IFERROR(VLOOKUP(DZ12,教师安排!$A:$Y,DZ$2+1,FALSE),"")</f>
        <v/>
      </c>
      <c r="EA13" s="126" t="str">
        <f>IFERROR(VLOOKUP(EA12,教师安排!$A:$Y,EA$2+1,FALSE),"")</f>
        <v/>
      </c>
      <c r="EB13" s="126" t="str">
        <f>IFERROR(VLOOKUP(EB12,教师安排!$A:$Y,EB$2+1,FALSE),"")</f>
        <v/>
      </c>
      <c r="EC13" s="126" t="str">
        <f>IFERROR(VLOOKUP(EC12,教师安排!$A:$Y,EC$2+1,FALSE),"")</f>
        <v/>
      </c>
      <c r="ED13" s="126" t="str">
        <f>IFERROR(VLOOKUP(ED12,教师安排!$A:$Y,ED$2+1,FALSE),"")</f>
        <v/>
      </c>
      <c r="EE13" s="126" t="str">
        <f>IFERROR(VLOOKUP(EE12,教师安排!$A:$Y,EE$2+1,FALSE),"")</f>
        <v/>
      </c>
      <c r="EF13" s="126" t="str">
        <f>IFERROR(VLOOKUP(EF12,教师安排!$A:$Y,EF$2+1,FALSE),"")</f>
        <v/>
      </c>
      <c r="EG13" s="126" t="str">
        <f>IFERROR(VLOOKUP(EG12,教师安排!$A:$Y,EG$2+1,FALSE),"")</f>
        <v/>
      </c>
      <c r="EH13" s="126"/>
      <c r="EI13" s="126"/>
      <c r="EJ13" s="126"/>
      <c r="EK13" s="126"/>
      <c r="EL13" s="126"/>
      <c r="EM13" s="126"/>
      <c r="EN13" s="126"/>
      <c r="EO13" s="126"/>
      <c r="EP13" s="126"/>
      <c r="EQ13" s="125"/>
      <c r="ER13" s="125"/>
      <c r="ES13" s="125"/>
      <c r="ET13" s="125"/>
      <c r="EU13" s="125"/>
      <c r="EV13" s="125"/>
      <c r="EW13" s="125"/>
      <c r="EX13" s="125"/>
      <c r="EY13" s="125"/>
      <c r="EZ13" s="125"/>
      <c r="FA13" s="125"/>
      <c r="FB13" s="125"/>
      <c r="FC13" s="125"/>
      <c r="FD13" s="125"/>
      <c r="FE13" s="125"/>
      <c r="FF13" s="125"/>
      <c r="FG13" s="125"/>
      <c r="FH13" s="125"/>
      <c r="FI13" s="125"/>
      <c r="FJ13" s="125"/>
      <c r="FK13" s="125"/>
      <c r="FL13" s="125"/>
      <c r="FM13" s="125"/>
      <c r="FN13" s="125"/>
      <c r="FO13" s="126" t="str">
        <f>IFERROR(VLOOKUP(FO12,教师安排!$A:$Y,FO$2+1,FALSE),"")</f>
        <v/>
      </c>
      <c r="FP13" s="126" t="str">
        <f>IFERROR(VLOOKUP(FP12,教师安排!$A:$Y,FP$2+1,FALSE),"")</f>
        <v/>
      </c>
      <c r="FQ13" s="126" t="str">
        <f>IFERROR(VLOOKUP(FQ12,教师安排!$A:$Y,FQ$2+1,FALSE),"")</f>
        <v/>
      </c>
      <c r="FR13" s="126" t="str">
        <f>IFERROR(VLOOKUP(FR12,教师安排!$A:$Y,FR$2+1,FALSE),"")</f>
        <v/>
      </c>
      <c r="FS13" s="126" t="str">
        <f>IFERROR(VLOOKUP(FS12,教师安排!$A:$Y,FS$2+1,FALSE),"")</f>
        <v/>
      </c>
      <c r="FT13" s="126" t="str">
        <f>IFERROR(VLOOKUP(FT12,教师安排!$A:$Y,FT$2+1,FALSE),"")</f>
        <v/>
      </c>
      <c r="FU13" s="126" t="str">
        <f>IFERROR(VLOOKUP(FU12,教师安排!$A:$Y,FU$2+1,FALSE),"")</f>
        <v/>
      </c>
      <c r="FV13" s="126" t="str">
        <f>IFERROR(VLOOKUP(FV12,教师安排!$A:$Y,FV$2+1,FALSE),"")</f>
        <v/>
      </c>
      <c r="FW13" s="126" t="str">
        <f>IFERROR(VLOOKUP(FW12,教师安排!$A:$Y,FW$2+1,FALSE),"")</f>
        <v/>
      </c>
      <c r="FX13" s="126" t="str">
        <f>IFERROR(VLOOKUP(FX12,教师安排!$A:$Y,FX$2+1,FALSE),"")</f>
        <v/>
      </c>
      <c r="FY13" s="126" t="str">
        <f>IFERROR(VLOOKUP(FY12,教师安排!$A:$Y,FY$2+1,FALSE),"")</f>
        <v/>
      </c>
      <c r="FZ13" s="126" t="str">
        <f>IFERROR(VLOOKUP(FZ12,教师安排!$A:$Y,FZ$2+1,FALSE),"")</f>
        <v/>
      </c>
      <c r="GA13" s="126" t="str">
        <f>IFERROR(VLOOKUP(GA12,教师安排!$A:$Y,GA$2+1,FALSE),"")</f>
        <v/>
      </c>
      <c r="GB13" s="126" t="str">
        <f>IFERROR(VLOOKUP(GB12,教师安排!$A:$Y,GB$2+1,FALSE),"")</f>
        <v/>
      </c>
      <c r="GC13" s="126" t="str">
        <f>IFERROR(VLOOKUP(GC12,教师安排!$A:$Y,GC$2+1,FALSE),"")</f>
        <v/>
      </c>
      <c r="GD13" s="126"/>
      <c r="GE13" s="126"/>
      <c r="GF13" s="126"/>
      <c r="GG13" s="126"/>
      <c r="GH13" s="126"/>
      <c r="GI13" s="126"/>
      <c r="GJ13" s="126"/>
      <c r="GK13" s="126"/>
      <c r="GL13" s="126"/>
      <c r="GM13" s="125"/>
      <c r="GN13" s="125"/>
      <c r="GO13" s="125"/>
      <c r="GP13" s="125"/>
      <c r="GQ13" s="125"/>
      <c r="GR13" s="125"/>
      <c r="GS13" s="125"/>
      <c r="GT13" s="125"/>
      <c r="GU13" s="125"/>
      <c r="GV13" s="125"/>
      <c r="GW13" s="125"/>
      <c r="GX13" s="125"/>
      <c r="GY13" s="125"/>
      <c r="GZ13" s="125"/>
      <c r="HA13" s="125"/>
      <c r="HB13" s="125"/>
      <c r="HC13" s="125"/>
      <c r="HD13" s="125"/>
      <c r="HE13" s="125"/>
      <c r="HF13" s="125"/>
      <c r="HG13" s="125"/>
      <c r="HH13" s="125"/>
      <c r="HI13" s="125"/>
      <c r="HJ13" s="125"/>
      <c r="HK13" s="126" t="str">
        <f>IFERROR(VLOOKUP(HK12,教师安排!$A:$Y,HK$2+1,FALSE),"")</f>
        <v/>
      </c>
      <c r="HL13" s="126" t="str">
        <f>IFERROR(VLOOKUP(HL12,教师安排!$A:$Y,HL$2+1,FALSE),"")</f>
        <v/>
      </c>
      <c r="HM13" s="126" t="str">
        <f>IFERROR(VLOOKUP(HM12,教师安排!$A:$Y,HM$2+1,FALSE),"")</f>
        <v/>
      </c>
      <c r="HN13" s="126" t="str">
        <f>IFERROR(VLOOKUP(HN12,教师安排!$A:$Y,HN$2+1,FALSE),"")</f>
        <v/>
      </c>
      <c r="HO13" s="126" t="str">
        <f>IFERROR(VLOOKUP(HO12,教师安排!$A:$Y,HO$2+1,FALSE),"")</f>
        <v/>
      </c>
      <c r="HP13" s="126" t="str">
        <f>IFERROR(VLOOKUP(HP12,教师安排!$A:$Y,HP$2+1,FALSE),"")</f>
        <v/>
      </c>
      <c r="HQ13" s="126" t="str">
        <f>IFERROR(VLOOKUP(HQ12,教师安排!$A:$Y,HQ$2+1,FALSE),"")</f>
        <v/>
      </c>
      <c r="HR13" s="126" t="str">
        <f>IFERROR(VLOOKUP(HR12,教师安排!$A:$Y,HR$2+1,FALSE),"")</f>
        <v/>
      </c>
      <c r="HS13" s="126" t="str">
        <f>IFERROR(VLOOKUP(HS12,教师安排!$A:$Y,HS$2+1,FALSE),"")</f>
        <v/>
      </c>
      <c r="HT13" s="126" t="str">
        <f>IFERROR(VLOOKUP(HT12,教师安排!$A:$Y,HT$2+1,FALSE),"")</f>
        <v/>
      </c>
      <c r="HU13" s="126" t="str">
        <f>IFERROR(VLOOKUP(HU12,教师安排!$A:$Y,HU$2+1,FALSE),"")</f>
        <v/>
      </c>
      <c r="HV13" s="126" t="str">
        <f>IFERROR(VLOOKUP(HV12,教师安排!$A:$Y,HV$2+1,FALSE),"")</f>
        <v/>
      </c>
      <c r="HW13" s="126" t="str">
        <f>IFERROR(VLOOKUP(HW12,教师安排!$A:$Y,HW$2+1,FALSE),"")</f>
        <v/>
      </c>
      <c r="HX13" s="126" t="str">
        <f>IFERROR(VLOOKUP(HX12,教师安排!$A:$Y,HX$2+1,FALSE),"")</f>
        <v/>
      </c>
      <c r="HY13" s="126" t="str">
        <f>IFERROR(VLOOKUP(HY12,教师安排!$A:$Y,HY$2+1,FALSE),"")</f>
        <v/>
      </c>
      <c r="HZ13" s="126"/>
      <c r="IA13" s="126"/>
      <c r="IB13" s="126"/>
      <c r="IC13" s="126"/>
      <c r="ID13" s="126"/>
      <c r="IE13" s="126"/>
      <c r="IF13" s="126"/>
      <c r="IG13" s="126"/>
      <c r="IH13" s="126"/>
      <c r="II13" s="125"/>
      <c r="IJ13" s="125"/>
      <c r="IK13" s="125"/>
      <c r="IL13" s="125"/>
      <c r="IM13" s="125"/>
      <c r="IN13" s="125"/>
      <c r="IO13" s="125"/>
      <c r="IP13" s="125"/>
      <c r="IQ13" s="125"/>
      <c r="IR13" s="125"/>
      <c r="IS13" s="125"/>
      <c r="IT13" s="125"/>
      <c r="IU13" s="125"/>
      <c r="IV13" s="125"/>
      <c r="IW13" s="125"/>
      <c r="IX13" s="125"/>
      <c r="IY13" s="125"/>
      <c r="IZ13" s="125"/>
      <c r="JA13" s="125"/>
      <c r="JB13" s="125"/>
      <c r="JC13" s="125"/>
      <c r="JD13" s="125"/>
      <c r="JE13" s="125"/>
      <c r="JF13" s="125"/>
      <c r="JG13" s="126"/>
      <c r="JH13" s="126"/>
      <c r="JI13" s="126"/>
      <c r="JJ13" s="126"/>
      <c r="JK13" s="126"/>
      <c r="JL13" s="126"/>
      <c r="JM13" s="126"/>
      <c r="JN13" s="126"/>
      <c r="JO13" s="126"/>
      <c r="JP13" s="126"/>
      <c r="JQ13" s="126"/>
      <c r="JR13" s="126"/>
      <c r="JS13" s="126"/>
      <c r="JT13" s="126"/>
      <c r="JU13" s="126"/>
      <c r="JV13" s="126"/>
      <c r="JW13" s="126"/>
      <c r="JX13" s="126"/>
      <c r="JY13" s="126"/>
      <c r="JZ13" s="126"/>
      <c r="KA13" s="126"/>
      <c r="KB13" s="126"/>
      <c r="KC13" s="126"/>
      <c r="KD13" s="126"/>
    </row>
    <row r="14" spans="1:290" s="116" customFormat="1" ht="18" customHeight="1" x14ac:dyDescent="0.4">
      <c r="A14" s="145"/>
      <c r="B14" s="143">
        <v>3</v>
      </c>
      <c r="C14" s="121" t="s">
        <v>66</v>
      </c>
      <c r="D14" s="121" t="s">
        <v>62</v>
      </c>
      <c r="E14" s="121" t="s">
        <v>58</v>
      </c>
      <c r="F14" s="121" t="s">
        <v>93</v>
      </c>
      <c r="G14" s="121" t="s">
        <v>92</v>
      </c>
      <c r="H14" s="121" t="s">
        <v>54</v>
      </c>
      <c r="I14" s="121" t="s">
        <v>58</v>
      </c>
      <c r="J14" s="121" t="s">
        <v>54</v>
      </c>
      <c r="K14" s="121" t="s">
        <v>66</v>
      </c>
      <c r="L14" s="121" t="s">
        <v>62</v>
      </c>
      <c r="M14" s="121" t="s">
        <v>93</v>
      </c>
      <c r="N14" s="121" t="s">
        <v>76</v>
      </c>
      <c r="O14" s="121" t="s">
        <v>34</v>
      </c>
      <c r="P14" s="121" t="s">
        <v>34</v>
      </c>
      <c r="Q14" s="121" t="s">
        <v>76</v>
      </c>
      <c r="R14" s="121"/>
      <c r="S14" s="121"/>
      <c r="T14" s="121"/>
      <c r="U14" s="121"/>
      <c r="V14" s="121"/>
      <c r="W14" s="121"/>
      <c r="X14" s="121"/>
      <c r="Y14" s="121"/>
      <c r="Z14" s="121"/>
      <c r="AA14" s="122" t="s">
        <v>42</v>
      </c>
      <c r="AB14" s="122" t="s">
        <v>89</v>
      </c>
      <c r="AC14" s="122" t="s">
        <v>26</v>
      </c>
      <c r="AD14" s="122" t="s">
        <v>42</v>
      </c>
      <c r="AE14" s="122" t="s">
        <v>58</v>
      </c>
      <c r="AF14" s="122" t="s">
        <v>42</v>
      </c>
      <c r="AG14" s="122" t="s">
        <v>42</v>
      </c>
      <c r="AH14" s="122" t="s">
        <v>54</v>
      </c>
      <c r="AI14" s="122" t="s">
        <v>76</v>
      </c>
      <c r="AJ14" s="122" t="s">
        <v>76</v>
      </c>
      <c r="AK14" s="122" t="s">
        <v>92</v>
      </c>
      <c r="AL14" s="122" t="s">
        <v>66</v>
      </c>
      <c r="AM14" s="122" t="s">
        <v>66</v>
      </c>
      <c r="AN14" s="122" t="s">
        <v>26</v>
      </c>
      <c r="AO14" s="122" t="s">
        <v>26</v>
      </c>
      <c r="AP14" s="122" t="s">
        <v>136</v>
      </c>
      <c r="AQ14" s="122"/>
      <c r="AR14" s="122" t="s">
        <v>138</v>
      </c>
      <c r="AS14" s="122"/>
      <c r="AT14" s="122"/>
      <c r="AU14" s="122"/>
      <c r="AV14" s="122"/>
      <c r="AW14" s="122"/>
      <c r="AX14" s="122"/>
      <c r="AY14" s="121" t="s">
        <v>89</v>
      </c>
      <c r="AZ14" s="121" t="s">
        <v>71</v>
      </c>
      <c r="BA14" s="121" t="s">
        <v>26</v>
      </c>
      <c r="BB14" s="121" t="s">
        <v>54</v>
      </c>
      <c r="BC14" s="121" t="s">
        <v>26</v>
      </c>
      <c r="BD14" s="121" t="s">
        <v>26</v>
      </c>
      <c r="BE14" s="121" t="s">
        <v>26</v>
      </c>
      <c r="BF14" s="121" t="s">
        <v>26</v>
      </c>
      <c r="BG14" s="121" t="s">
        <v>34</v>
      </c>
      <c r="BH14" s="121" t="s">
        <v>26</v>
      </c>
      <c r="BI14" s="121" t="s">
        <v>34</v>
      </c>
      <c r="BJ14" s="121" t="s">
        <v>76</v>
      </c>
      <c r="BK14" s="121" t="s">
        <v>89</v>
      </c>
      <c r="BL14" s="121" t="s">
        <v>34</v>
      </c>
      <c r="BM14" s="121" t="s">
        <v>34</v>
      </c>
      <c r="BN14" s="121"/>
      <c r="BO14" s="121"/>
      <c r="BP14" s="121"/>
      <c r="BQ14" s="121"/>
      <c r="BR14" s="121"/>
      <c r="BS14" s="121"/>
      <c r="BT14" s="121"/>
      <c r="BU14" s="121"/>
      <c r="BV14" s="121"/>
      <c r="BW14" s="122" t="s">
        <v>42</v>
      </c>
      <c r="BX14" s="122" t="s">
        <v>34</v>
      </c>
      <c r="BY14" s="122" t="s">
        <v>54</v>
      </c>
      <c r="BZ14" s="122" t="s">
        <v>42</v>
      </c>
      <c r="CA14" s="122" t="s">
        <v>26</v>
      </c>
      <c r="CB14" s="122" t="s">
        <v>26</v>
      </c>
      <c r="CC14" s="122" t="s">
        <v>34</v>
      </c>
      <c r="CD14" s="122" t="s">
        <v>58</v>
      </c>
      <c r="CE14" s="122" t="s">
        <v>42</v>
      </c>
      <c r="CF14" s="122" t="s">
        <v>42</v>
      </c>
      <c r="CG14" s="122" t="s">
        <v>66</v>
      </c>
      <c r="CH14" s="122" t="s">
        <v>89</v>
      </c>
      <c r="CI14" s="122" t="s">
        <v>26</v>
      </c>
      <c r="CJ14" s="122" t="s">
        <v>34</v>
      </c>
      <c r="CK14" s="122" t="s">
        <v>71</v>
      </c>
      <c r="CL14" s="122" t="s">
        <v>136</v>
      </c>
      <c r="CM14" s="122"/>
      <c r="CN14" s="122" t="s">
        <v>138</v>
      </c>
      <c r="CO14" s="122"/>
      <c r="CP14" s="122"/>
      <c r="CQ14" s="122"/>
      <c r="CR14" s="122"/>
      <c r="CS14" s="122"/>
      <c r="CT14" s="122"/>
      <c r="CU14" s="121" t="s">
        <v>54</v>
      </c>
      <c r="CV14" s="121" t="s">
        <v>62</v>
      </c>
      <c r="CW14" s="121" t="s">
        <v>85</v>
      </c>
      <c r="CX14" s="121" t="s">
        <v>71</v>
      </c>
      <c r="CY14" s="121" t="s">
        <v>42</v>
      </c>
      <c r="CZ14" s="121" t="s">
        <v>42</v>
      </c>
      <c r="DA14" s="121" t="s">
        <v>34</v>
      </c>
      <c r="DB14" s="121" t="s">
        <v>42</v>
      </c>
      <c r="DC14" s="121" t="s">
        <v>34</v>
      </c>
      <c r="DD14" s="121" t="s">
        <v>62</v>
      </c>
      <c r="DE14" s="121" t="s">
        <v>92</v>
      </c>
      <c r="DF14" s="121" t="s">
        <v>71</v>
      </c>
      <c r="DG14" s="121" t="s">
        <v>71</v>
      </c>
      <c r="DH14" s="121" t="s">
        <v>34</v>
      </c>
      <c r="DI14" s="121" t="s">
        <v>66</v>
      </c>
      <c r="DJ14" s="121"/>
      <c r="DK14" s="121"/>
      <c r="DL14" s="121"/>
      <c r="DM14" s="121"/>
      <c r="DN14" s="121"/>
      <c r="DO14" s="121"/>
      <c r="DP14" s="121"/>
      <c r="DQ14" s="121"/>
      <c r="DR14" s="121"/>
      <c r="DS14" s="122" t="s">
        <v>66</v>
      </c>
      <c r="DT14" s="122" t="s">
        <v>62</v>
      </c>
      <c r="DU14" s="122" t="s">
        <v>71</v>
      </c>
      <c r="DV14" s="122" t="s">
        <v>34</v>
      </c>
      <c r="DW14" s="122" t="s">
        <v>34</v>
      </c>
      <c r="DX14" s="122" t="s">
        <v>42</v>
      </c>
      <c r="DY14" s="122" t="s">
        <v>34</v>
      </c>
      <c r="DZ14" s="122" t="s">
        <v>58</v>
      </c>
      <c r="EA14" s="122" t="s">
        <v>66</v>
      </c>
      <c r="EB14" s="122" t="s">
        <v>76</v>
      </c>
      <c r="EC14" s="122" t="s">
        <v>76</v>
      </c>
      <c r="ED14" s="122" t="s">
        <v>34</v>
      </c>
      <c r="EE14" s="122" t="s">
        <v>26</v>
      </c>
      <c r="EF14" s="122" t="s">
        <v>34</v>
      </c>
      <c r="EG14" s="122" t="s">
        <v>66</v>
      </c>
      <c r="EH14" s="122"/>
      <c r="EI14" s="122"/>
      <c r="EJ14" s="122"/>
      <c r="EK14" s="122"/>
      <c r="EL14" s="122"/>
      <c r="EM14" s="122"/>
      <c r="EN14" s="122"/>
      <c r="EO14" s="122"/>
      <c r="EP14" s="122"/>
      <c r="EQ14" s="121" t="s">
        <v>58</v>
      </c>
      <c r="ER14" s="121" t="s">
        <v>26</v>
      </c>
      <c r="ES14" s="121" t="s">
        <v>76</v>
      </c>
      <c r="ET14" s="121" t="s">
        <v>54</v>
      </c>
      <c r="EU14" s="121" t="s">
        <v>42</v>
      </c>
      <c r="EV14" s="121" t="s">
        <v>42</v>
      </c>
      <c r="EW14" s="121" t="s">
        <v>34</v>
      </c>
      <c r="EX14" s="121" t="s">
        <v>42</v>
      </c>
      <c r="EY14" s="121" t="s">
        <v>62</v>
      </c>
      <c r="EZ14" s="121" t="s">
        <v>62</v>
      </c>
      <c r="FA14" s="121" t="s">
        <v>76</v>
      </c>
      <c r="FB14" s="121" t="s">
        <v>76</v>
      </c>
      <c r="FC14" s="121" t="s">
        <v>66</v>
      </c>
      <c r="FD14" s="121" t="s">
        <v>71</v>
      </c>
      <c r="FE14" s="121" t="s">
        <v>71</v>
      </c>
      <c r="FF14" s="121"/>
      <c r="FG14" s="121"/>
      <c r="FH14" s="121"/>
      <c r="FI14" s="121"/>
      <c r="FJ14" s="121"/>
      <c r="FK14" s="121"/>
      <c r="FL14" s="121"/>
      <c r="FM14" s="121"/>
      <c r="FN14" s="121"/>
      <c r="FO14" s="122" t="s">
        <v>66</v>
      </c>
      <c r="FP14" s="122" t="s">
        <v>62</v>
      </c>
      <c r="FQ14" s="122" t="s">
        <v>58</v>
      </c>
      <c r="FR14" s="122" t="s">
        <v>93</v>
      </c>
      <c r="FS14" s="122" t="s">
        <v>92</v>
      </c>
      <c r="FT14" s="122" t="s">
        <v>54</v>
      </c>
      <c r="FU14" s="122" t="s">
        <v>58</v>
      </c>
      <c r="FV14" s="122" t="s">
        <v>54</v>
      </c>
      <c r="FW14" s="122" t="s">
        <v>66</v>
      </c>
      <c r="FX14" s="122" t="s">
        <v>62</v>
      </c>
      <c r="FY14" s="122" t="s">
        <v>93</v>
      </c>
      <c r="FZ14" s="122" t="s">
        <v>76</v>
      </c>
      <c r="GA14" s="122" t="s">
        <v>34</v>
      </c>
      <c r="GB14" s="122" t="s">
        <v>34</v>
      </c>
      <c r="GC14" s="122" t="s">
        <v>76</v>
      </c>
      <c r="GD14" s="122"/>
      <c r="GE14" s="122"/>
      <c r="GF14" s="122"/>
      <c r="GG14" s="122"/>
      <c r="GH14" s="122"/>
      <c r="GI14" s="122"/>
      <c r="GJ14" s="122"/>
      <c r="GK14" s="122"/>
      <c r="GL14" s="122"/>
      <c r="GM14" s="121" t="s">
        <v>42</v>
      </c>
      <c r="GN14" s="121" t="s">
        <v>89</v>
      </c>
      <c r="GO14" s="121" t="s">
        <v>26</v>
      </c>
      <c r="GP14" s="121" t="s">
        <v>42</v>
      </c>
      <c r="GQ14" s="121" t="s">
        <v>58</v>
      </c>
      <c r="GR14" s="121" t="s">
        <v>42</v>
      </c>
      <c r="GS14" s="121" t="s">
        <v>42</v>
      </c>
      <c r="GT14" s="121" t="s">
        <v>54</v>
      </c>
      <c r="GU14" s="121" t="s">
        <v>76</v>
      </c>
      <c r="GV14" s="121" t="s">
        <v>76</v>
      </c>
      <c r="GW14" s="121" t="s">
        <v>92</v>
      </c>
      <c r="GX14" s="121" t="s">
        <v>66</v>
      </c>
      <c r="GY14" s="121" t="s">
        <v>66</v>
      </c>
      <c r="GZ14" s="121" t="s">
        <v>26</v>
      </c>
      <c r="HA14" s="121" t="s">
        <v>71</v>
      </c>
      <c r="HB14" s="121" t="s">
        <v>136</v>
      </c>
      <c r="HC14" s="121"/>
      <c r="HD14" s="121" t="s">
        <v>138</v>
      </c>
      <c r="HE14" s="121"/>
      <c r="HF14" s="121"/>
      <c r="HG14" s="121"/>
      <c r="HH14" s="121"/>
      <c r="HI14" s="121"/>
      <c r="HJ14" s="121"/>
      <c r="HK14" s="122" t="s">
        <v>89</v>
      </c>
      <c r="HL14" s="122" t="s">
        <v>71</v>
      </c>
      <c r="HM14" s="122" t="s">
        <v>26</v>
      </c>
      <c r="HN14" s="122" t="s">
        <v>54</v>
      </c>
      <c r="HO14" s="122" t="s">
        <v>26</v>
      </c>
      <c r="HP14" s="122" t="s">
        <v>26</v>
      </c>
      <c r="HQ14" s="122" t="s">
        <v>26</v>
      </c>
      <c r="HR14" s="122" t="s">
        <v>26</v>
      </c>
      <c r="HS14" s="122" t="s">
        <v>34</v>
      </c>
      <c r="HT14" s="122" t="s">
        <v>26</v>
      </c>
      <c r="HU14" s="122" t="s">
        <v>34</v>
      </c>
      <c r="HV14" s="122" t="s">
        <v>76</v>
      </c>
      <c r="HW14" s="122" t="s">
        <v>89</v>
      </c>
      <c r="HX14" s="122" t="s">
        <v>34</v>
      </c>
      <c r="HY14" s="122" t="s">
        <v>34</v>
      </c>
      <c r="HZ14" s="122"/>
      <c r="IA14" s="122"/>
      <c r="IB14" s="122"/>
      <c r="IC14" s="122"/>
      <c r="ID14" s="122"/>
      <c r="IE14" s="122"/>
      <c r="IF14" s="122"/>
      <c r="IG14" s="122"/>
      <c r="IH14" s="122"/>
      <c r="II14" s="121" t="s">
        <v>42</v>
      </c>
      <c r="IJ14" s="121" t="s">
        <v>34</v>
      </c>
      <c r="IK14" s="121" t="s">
        <v>54</v>
      </c>
      <c r="IL14" s="121" t="s">
        <v>42</v>
      </c>
      <c r="IM14" s="121" t="s">
        <v>26</v>
      </c>
      <c r="IN14" s="121" t="s">
        <v>26</v>
      </c>
      <c r="IO14" s="121" t="s">
        <v>34</v>
      </c>
      <c r="IP14" s="121" t="s">
        <v>58</v>
      </c>
      <c r="IQ14" s="121" t="s">
        <v>42</v>
      </c>
      <c r="IR14" s="121" t="s">
        <v>42</v>
      </c>
      <c r="IS14" s="121" t="s">
        <v>66</v>
      </c>
      <c r="IT14" s="121" t="s">
        <v>89</v>
      </c>
      <c r="IU14" s="121" t="s">
        <v>26</v>
      </c>
      <c r="IV14" s="121" t="s">
        <v>34</v>
      </c>
      <c r="IW14" s="121" t="s">
        <v>71</v>
      </c>
      <c r="IX14" s="121" t="s">
        <v>136</v>
      </c>
      <c r="IY14" s="121"/>
      <c r="IZ14" s="121" t="s">
        <v>138</v>
      </c>
      <c r="JA14" s="121"/>
      <c r="JB14" s="121"/>
      <c r="JC14" s="121"/>
      <c r="JD14" s="121"/>
      <c r="JE14" s="121"/>
      <c r="JF14" s="121"/>
      <c r="JG14" s="122" t="s">
        <v>54</v>
      </c>
      <c r="JH14" s="122" t="s">
        <v>54</v>
      </c>
      <c r="JI14" s="122" t="s">
        <v>85</v>
      </c>
      <c r="JJ14" s="122" t="s">
        <v>71</v>
      </c>
      <c r="JK14" s="122" t="s">
        <v>42</v>
      </c>
      <c r="JL14" s="122" t="s">
        <v>42</v>
      </c>
      <c r="JM14" s="122" t="s">
        <v>34</v>
      </c>
      <c r="JN14" s="122" t="s">
        <v>42</v>
      </c>
      <c r="JO14" s="122" t="s">
        <v>34</v>
      </c>
      <c r="JP14" s="122" t="s">
        <v>62</v>
      </c>
      <c r="JQ14" s="122" t="s">
        <v>76</v>
      </c>
      <c r="JR14" s="122" t="s">
        <v>92</v>
      </c>
      <c r="JS14" s="122" t="s">
        <v>71</v>
      </c>
      <c r="JT14" s="122" t="s">
        <v>34</v>
      </c>
      <c r="JU14" s="122" t="s">
        <v>66</v>
      </c>
      <c r="JV14" s="122"/>
      <c r="JW14" s="122"/>
      <c r="JX14" s="122"/>
      <c r="JY14" s="122"/>
      <c r="JZ14" s="122"/>
      <c r="KA14" s="122"/>
      <c r="KB14" s="122"/>
      <c r="KC14" s="122"/>
      <c r="KD14" s="122"/>
    </row>
    <row r="15" spans="1:290" s="116" customFormat="1" ht="18" customHeight="1" x14ac:dyDescent="0.4">
      <c r="A15" s="145"/>
      <c r="B15" s="143"/>
      <c r="C15" s="125" t="str">
        <f>IFERROR(VLOOKUP(C14,教师安排!$A:$Y,C$2+1,FALSE),"")</f>
        <v>李雯</v>
      </c>
      <c r="D15" s="125" t="str">
        <f>IFERROR(VLOOKUP(D14,教师安排!$A:$Y,D$2+1,FALSE),"")</f>
        <v>周兴玲</v>
      </c>
      <c r="E15" s="125" t="str">
        <f>IFERROR(VLOOKUP(E14,教师安排!$A:$Y,E$2+1,FALSE),"")</f>
        <v>宋开元</v>
      </c>
      <c r="F15" s="125" t="str">
        <f>IFERROR(VLOOKUP(F14,教师安排!$A:$Y,F$2+1,FALSE),"")</f>
        <v>王庆超</v>
      </c>
      <c r="G15" s="125" t="str">
        <f>IFERROR(VLOOKUP(G14,教师安排!$A:$Y,G$2+1,FALSE),"")</f>
        <v>孙显阳</v>
      </c>
      <c r="H15" s="125" t="str">
        <f>IFERROR(VLOOKUP(H14,教师安排!$A:$Y,H$2+1,FALSE),"")</f>
        <v>孙存义</v>
      </c>
      <c r="I15" s="125" t="str">
        <f>IFERROR(VLOOKUP(I14,教师安排!$A:$Y,I$2+1,FALSE),"")</f>
        <v>马崇庆</v>
      </c>
      <c r="J15" s="125" t="str">
        <f>IFERROR(VLOOKUP(J14,教师安排!$A:$Y,J$2+1,FALSE),"")</f>
        <v>康波</v>
      </c>
      <c r="K15" s="125" t="str">
        <f>IFERROR(VLOOKUP(K14,教师安排!$A:$Y,K$2+1,FALSE),"")</f>
        <v>田凤美</v>
      </c>
      <c r="L15" s="125" t="str">
        <f>IFERROR(VLOOKUP(L14,教师安排!$A:$Y,L$2+1,FALSE),"")</f>
        <v>蒋心言</v>
      </c>
      <c r="M15" s="125" t="str">
        <f>IFERROR(VLOOKUP(M14,教师安排!$A:$Y,M$2+1,FALSE),"")</f>
        <v>刘天骄</v>
      </c>
      <c r="N15" s="125" t="str">
        <f>IFERROR(VLOOKUP(N14,教师安排!$A:$Y,N$2+1,FALSE),"")</f>
        <v>王硕</v>
      </c>
      <c r="O15" s="125" t="str">
        <f>IFERROR(VLOOKUP(O14,教师安排!$A:$Y,O$2+1,FALSE),"")</f>
        <v>范林林</v>
      </c>
      <c r="P15" s="125" t="str">
        <f>IFERROR(VLOOKUP(P14,教师安排!$A:$Y,P$2+1,FALSE),"")</f>
        <v>王露</v>
      </c>
      <c r="Q15" s="125" t="str">
        <f>IFERROR(VLOOKUP(Q14,教师安排!$A:$Y,Q$2+1,FALSE),"")</f>
        <v>孙秋杰</v>
      </c>
      <c r="R15" s="125" t="str">
        <f>IFERROR(VLOOKUP(R14,教师安排!$A:$Y,R$2+1,FALSE),"")</f>
        <v/>
      </c>
      <c r="S15" s="125" t="str">
        <f>IFERROR(VLOOKUP(S14,教师安排!$A:$Y,S$2+1,FALSE),"")</f>
        <v/>
      </c>
      <c r="T15" s="125" t="str">
        <f>IFERROR(VLOOKUP(T14,教师安排!$A:$Y,T$2+1,FALSE),"")</f>
        <v/>
      </c>
      <c r="U15" s="125" t="str">
        <f>IFERROR(VLOOKUP(U14,教师安排!$A:$Y,U$2+1,FALSE),"")</f>
        <v/>
      </c>
      <c r="V15" s="125"/>
      <c r="W15" s="125" t="str">
        <f>IFERROR(VLOOKUP(W14,教师安排!$A:$Y,W$2+1,FALSE),"")</f>
        <v/>
      </c>
      <c r="X15" s="125" t="str">
        <f>IFERROR(VLOOKUP(X14,教师安排!$A:$Y,X$2+1,FALSE),"")</f>
        <v/>
      </c>
      <c r="Y15" s="125" t="str">
        <f>IFERROR(VLOOKUP(Y14,教师安排!$A:$Y,Y$2+1,FALSE),"")</f>
        <v/>
      </c>
      <c r="Z15" s="125" t="str">
        <f>IFERROR(VLOOKUP(Z14,教师安排!$A:$Y,Z$2+1,FALSE),"")</f>
        <v/>
      </c>
      <c r="AA15" s="126" t="str">
        <f>IFERROR(VLOOKUP(AA14,教师安排!$A:$Y,AA$2+1,FALSE),"")</f>
        <v>岳/厉</v>
      </c>
      <c r="AB15" s="126" t="str">
        <f>IFERROR(VLOOKUP(AB14,教师安排!$A:$Y,AB$2+1,FALSE),"")</f>
        <v>张喆</v>
      </c>
      <c r="AC15" s="126" t="str">
        <f>IFERROR(VLOOKUP(AC14,教师安排!$A:$Y,AC$2+1,FALSE),"")</f>
        <v>杨彬</v>
      </c>
      <c r="AD15" s="126" t="str">
        <f>IFERROR(VLOOKUP(AD14,教师安排!$A:$Y,AD$2+1,FALSE),"")</f>
        <v>岳/厉</v>
      </c>
      <c r="AE15" s="126" t="str">
        <f>IFERROR(VLOOKUP(AE14,教师安排!$A:$Y,AE$2+1,FALSE),"")</f>
        <v>李振铎</v>
      </c>
      <c r="AF15" s="126" t="str">
        <f>IFERROR(VLOOKUP(AF14,教师安排!$A:$Y,AF$2+1,FALSE),"")</f>
        <v>翟淑玮</v>
      </c>
      <c r="AG15" s="126" t="str">
        <f>IFERROR(VLOOKUP(AG14,教师安排!$A:$Y,AG$2+1,FALSE),"")</f>
        <v>韩丽梅</v>
      </c>
      <c r="AH15" s="126" t="str">
        <f>IFERROR(VLOOKUP(AH14,教师安排!$A:$Y,AH$2+1,FALSE),"")</f>
        <v>康波</v>
      </c>
      <c r="AI15" s="126" t="str">
        <f>IFERROR(VLOOKUP(AI14,教师安排!$A:$Y,AI$2+1,FALSE),"")</f>
        <v>王硕</v>
      </c>
      <c r="AJ15" s="126" t="str">
        <f>IFERROR(VLOOKUP(AJ14,教师安排!$A:$Y,AJ$2+1,FALSE),"")</f>
        <v>孙秋杰</v>
      </c>
      <c r="AK15" s="126" t="str">
        <f>IFERROR(VLOOKUP(AK14,教师安排!$A:$Y,AK$2+1,FALSE),"")</f>
        <v>孙显阳</v>
      </c>
      <c r="AL15" s="126" t="str">
        <f>IFERROR(VLOOKUP(AL14,教师安排!$A:$Y,AL$2+1,FALSE),"")</f>
        <v>董艳华</v>
      </c>
      <c r="AM15" s="126" t="str">
        <f>IFERROR(VLOOKUP(AM14,教师安排!$A:$Y,AM$2+1,FALSE),"")</f>
        <v>夏文杰</v>
      </c>
      <c r="AN15" s="126" t="str">
        <f>IFERROR(VLOOKUP(AN14,教师安排!$A:$Y,AN$2+1,FALSE),"")</f>
        <v>姜媛媛</v>
      </c>
      <c r="AO15" s="126" t="str">
        <f>IFERROR(VLOOKUP(AO14,教师安排!$A:$Y,AO$2+1,FALSE),"")</f>
        <v>路睿</v>
      </c>
      <c r="AP15" s="126" t="str">
        <f>IFERROR(VLOOKUP(AP14,教师安排!$A:$Y,AP$2+1,FALSE),"")</f>
        <v>岳海霞</v>
      </c>
      <c r="AQ15" s="126" t="str">
        <f>IFERROR(VLOOKUP(AQ14,教师安排!$A:$Y,AQ$2+1,FALSE),"")</f>
        <v/>
      </c>
      <c r="AR15" s="126" t="str">
        <f>IFERROR(VLOOKUP(AR14,教师安排!$A:$Y,AR$2+1,FALSE),"")</f>
        <v>厉彦龙</v>
      </c>
      <c r="AS15" s="126" t="str">
        <f>IFERROR(VLOOKUP(AS14,教师安排!$A:$Y,AS$2+1,FALSE),"")</f>
        <v/>
      </c>
      <c r="AT15" s="126"/>
      <c r="AU15" s="126" t="str">
        <f>IFERROR(VLOOKUP(AU14,教师安排!$A:$Y,AU$2+1,FALSE),"")</f>
        <v/>
      </c>
      <c r="AV15" s="126" t="str">
        <f>IFERROR(VLOOKUP(AV14,教师安排!$A:$Y,AV$2+1,FALSE),"")</f>
        <v/>
      </c>
      <c r="AW15" s="126" t="str">
        <f>IFERROR(VLOOKUP(AW14,教师安排!$A:$Y,AW$2+1,FALSE),"")</f>
        <v/>
      </c>
      <c r="AX15" s="126" t="str">
        <f>IFERROR(VLOOKUP(AX14,教师安排!$A:$Y,AX$2+1,FALSE),"")</f>
        <v/>
      </c>
      <c r="AY15" s="125" t="str">
        <f>IFERROR(VLOOKUP(AY14,教师安排!$A:$Y,AY$2+1,FALSE),"")</f>
        <v>张喆</v>
      </c>
      <c r="AZ15" s="125" t="str">
        <f>IFERROR(VLOOKUP(AZ14,教师安排!$A:$Y,AZ$2+1,FALSE),"")</f>
        <v>刘珊珊</v>
      </c>
      <c r="BA15" s="125" t="str">
        <f>IFERROR(VLOOKUP(BA14,教师安排!$A:$Y,BA$2+1,FALSE),"")</f>
        <v>杨彬</v>
      </c>
      <c r="BB15" s="125" t="str">
        <f>IFERROR(VLOOKUP(BB14,教师安排!$A:$Y,BB$2+1,FALSE),"")</f>
        <v>康波</v>
      </c>
      <c r="BC15" s="125" t="str">
        <f>IFERROR(VLOOKUP(BC14,教师安排!$A:$Y,BC$2+1,FALSE),"")</f>
        <v>张冰雪</v>
      </c>
      <c r="BD15" s="125" t="str">
        <f>IFERROR(VLOOKUP(BD14,教师安排!$A:$Y,BD$2+1,FALSE),"")</f>
        <v>姜媛媛</v>
      </c>
      <c r="BE15" s="125" t="str">
        <f>IFERROR(VLOOKUP(BE14,教师安排!$A:$Y,BE$2+1,FALSE),"")</f>
        <v>王雪莲</v>
      </c>
      <c r="BF15" s="125" t="str">
        <f>IFERROR(VLOOKUP(BF14,教师安排!$A:$Y,BF$2+1,FALSE),"")</f>
        <v>路睿</v>
      </c>
      <c r="BG15" s="125" t="str">
        <f>IFERROR(VLOOKUP(BG14,教师安排!$A:$Y,BG$2+1,FALSE),"")</f>
        <v>赵雪敏</v>
      </c>
      <c r="BH15" s="125" t="str">
        <f>IFERROR(VLOOKUP(BH14,教师安排!$A:$Y,BH$2+1,FALSE),"")</f>
        <v>王菲</v>
      </c>
      <c r="BI15" s="125" t="str">
        <f>IFERROR(VLOOKUP(BI14,教师安排!$A:$Y,BI$2+1,FALSE),"")</f>
        <v>范林林</v>
      </c>
      <c r="BJ15" s="125" t="str">
        <f>IFERROR(VLOOKUP(BJ14,教师安排!$A:$Y,BJ$2+1,FALSE),"")</f>
        <v>王硕</v>
      </c>
      <c r="BK15" s="125" t="str">
        <f>IFERROR(VLOOKUP(BK14,教师安排!$A:$Y,BK$2+1,FALSE),"")</f>
        <v>孙显阳</v>
      </c>
      <c r="BL15" s="125" t="str">
        <f>IFERROR(VLOOKUP(BL14,教师安排!$A:$Y,BL$2+1,FALSE),"")</f>
        <v>王露</v>
      </c>
      <c r="BM15" s="125" t="str">
        <f>IFERROR(VLOOKUP(BM14,教师安排!$A:$Y,BM$2+1,FALSE),"")</f>
        <v>高文凤</v>
      </c>
      <c r="BN15" s="125" t="str">
        <f>IFERROR(VLOOKUP(BN14,教师安排!$A:$Y,BN$2+1,FALSE),"")</f>
        <v/>
      </c>
      <c r="BO15" s="125" t="str">
        <f>IFERROR(VLOOKUP(BO14,教师安排!$A:$Y,BO$2+1,FALSE),"")</f>
        <v/>
      </c>
      <c r="BP15" s="125" t="str">
        <f>IFERROR(VLOOKUP(BP14,教师安排!$A:$Y,BP$2+1,FALSE),"")</f>
        <v/>
      </c>
      <c r="BQ15" s="125" t="str">
        <f>IFERROR(VLOOKUP(BQ14,教师安排!$A:$Y,BQ$2+1,FALSE),"")</f>
        <v/>
      </c>
      <c r="BR15" s="125"/>
      <c r="BS15" s="125" t="str">
        <f>IFERROR(VLOOKUP(BS14,教师安排!$A:$Y,BS$2+1,FALSE),"")</f>
        <v/>
      </c>
      <c r="BT15" s="125" t="str">
        <f>IFERROR(VLOOKUP(BT14,教师安排!$A:$Y,BT$2+1,FALSE),"")</f>
        <v/>
      </c>
      <c r="BU15" s="125" t="str">
        <f>IFERROR(VLOOKUP(BU14,教师安排!$A:$Y,BU$2+1,FALSE),"")</f>
        <v/>
      </c>
      <c r="BV15" s="125" t="str">
        <f>IFERROR(VLOOKUP(BV14,教师安排!$A:$Y,BV$2+1,FALSE),"")</f>
        <v/>
      </c>
      <c r="BW15" s="126" t="str">
        <f>IFERROR(VLOOKUP(BW14,教师安排!$A:$Y,BW$2+1,FALSE),"")</f>
        <v>岳/厉</v>
      </c>
      <c r="BX15" s="126" t="str">
        <f>IFERROR(VLOOKUP(BX14,教师安排!$A:$Y,BX$2+1,FALSE),"")</f>
        <v>姚来朋</v>
      </c>
      <c r="BY15" s="126" t="str">
        <f>IFERROR(VLOOKUP(BY14,教师安排!$A:$Y,BY$2+1,FALSE),"")</f>
        <v>张雨晴</v>
      </c>
      <c r="BZ15" s="126" t="str">
        <f>IFERROR(VLOOKUP(BZ14,教师安排!$A:$Y,BZ$2+1,FALSE),"")</f>
        <v>岳/厉</v>
      </c>
      <c r="CA15" s="126" t="str">
        <f>IFERROR(VLOOKUP(CA14,教师安排!$A:$Y,CA$2+1,FALSE),"")</f>
        <v>张冰雪</v>
      </c>
      <c r="CB15" s="126" t="str">
        <f>IFERROR(VLOOKUP(CB14,教师安排!$A:$Y,CB$2+1,FALSE),"")</f>
        <v>姜媛媛</v>
      </c>
      <c r="CC15" s="126" t="str">
        <f>IFERROR(VLOOKUP(CC14,教师安排!$A:$Y,CC$2+1,FALSE),"")</f>
        <v>范林林</v>
      </c>
      <c r="CD15" s="126" t="str">
        <f>IFERROR(VLOOKUP(CD14,教师安排!$A:$Y,CD$2+1,FALSE),"")</f>
        <v>宋开元</v>
      </c>
      <c r="CE15" s="126" t="str">
        <f>IFERROR(VLOOKUP(CE14,教师安排!$A:$Y,CE$2+1,FALSE),"")</f>
        <v>王灼</v>
      </c>
      <c r="CF15" s="126" t="str">
        <f>IFERROR(VLOOKUP(CF14,教师安排!$A:$Y,CF$2+1,FALSE),"")</f>
        <v>胡存想</v>
      </c>
      <c r="CG15" s="126" t="str">
        <f>IFERROR(VLOOKUP(CG14,教师安排!$A:$Y,CG$2+1,FALSE),"")</f>
        <v>田凤美</v>
      </c>
      <c r="CH15" s="126" t="str">
        <f>IFERROR(VLOOKUP(CH14,教师安排!$A:$Y,CH$2+1,FALSE),"")</f>
        <v>张喆</v>
      </c>
      <c r="CI15" s="126" t="str">
        <f>IFERROR(VLOOKUP(CI14,教师安排!$A:$Y,CI$2+1,FALSE),"")</f>
        <v>王菲</v>
      </c>
      <c r="CJ15" s="126" t="str">
        <f>IFERROR(VLOOKUP(CJ14,教师安排!$A:$Y,CJ$2+1,FALSE),"")</f>
        <v>王露</v>
      </c>
      <c r="CK15" s="126" t="str">
        <f>IFERROR(VLOOKUP(CK14,教师安排!$A:$Y,CK$2+1,FALSE),"")</f>
        <v>张鑫</v>
      </c>
      <c r="CL15" s="126" t="str">
        <f>IFERROR(VLOOKUP(CL14,教师安排!$A:$Y,CL$2+1,FALSE),"")</f>
        <v>岳海霞</v>
      </c>
      <c r="CM15" s="126" t="str">
        <f>IFERROR(VLOOKUP(CM14,教师安排!$A:$Y,CM$2+1,FALSE),"")</f>
        <v/>
      </c>
      <c r="CN15" s="126" t="str">
        <f>IFERROR(VLOOKUP(CN14,教师安排!$A:$Y,CN$2+1,FALSE),"")</f>
        <v>厉彦龙</v>
      </c>
      <c r="CO15" s="126" t="str">
        <f>IFERROR(VLOOKUP(CO14,教师安排!$A:$Y,CO$2+1,FALSE),"")</f>
        <v/>
      </c>
      <c r="CP15" s="126" t="str">
        <f>IFERROR(VLOOKUP(CP14,教师安排!$A:$Y,CP$2+1,FALSE),"")</f>
        <v/>
      </c>
      <c r="CQ15" s="126"/>
      <c r="CR15" s="126" t="str">
        <f>IFERROR(VLOOKUP(CR14,教师安排!$A:$Y,CR$2+1,FALSE),"")</f>
        <v/>
      </c>
      <c r="CS15" s="126" t="str">
        <f>IFERROR(VLOOKUP(CS14,教师安排!$A:$Y,CS$2+1,FALSE),"")</f>
        <v/>
      </c>
      <c r="CT15" s="126" t="str">
        <f>IFERROR(VLOOKUP(CT14,教师安排!$A:$Y,CT$2+1,FALSE),"")</f>
        <v/>
      </c>
      <c r="CU15" s="125" t="str">
        <f>IFERROR(VLOOKUP(CU14,教师安排!$A:$Y,CU$2+1,FALSE),"")</f>
        <v>康波</v>
      </c>
      <c r="CV15" s="125" t="str">
        <f>IFERROR(VLOOKUP(CV14,教师安排!$A:$Y,CV$2+1,FALSE),"")</f>
        <v>周兴玲</v>
      </c>
      <c r="CW15" s="125" t="str">
        <f>IFERROR(VLOOKUP(CW14,教师安排!$A:$Y,CW$2+1,FALSE),"")</f>
        <v>李冰慧</v>
      </c>
      <c r="CX15" s="125" t="str">
        <f>IFERROR(VLOOKUP(CX14,教师安排!$A:$Y,CX$2+1,FALSE),"")</f>
        <v>刘珊珊</v>
      </c>
      <c r="CY15" s="125" t="str">
        <f>IFERROR(VLOOKUP(CY14,教师安排!$A:$Y,CY$2+1,FALSE),"")</f>
        <v>王灼</v>
      </c>
      <c r="CZ15" s="125" t="str">
        <f>IFERROR(VLOOKUP(CZ14,教师安排!$A:$Y,CZ$2+1,FALSE),"")</f>
        <v>翟淑玮</v>
      </c>
      <c r="DA15" s="125" t="str">
        <f>IFERROR(VLOOKUP(DA14,教师安排!$A:$Y,DA$2+1,FALSE),"")</f>
        <v>范林林</v>
      </c>
      <c r="DB15" s="125" t="str">
        <f>IFERROR(VLOOKUP(DB14,教师安排!$A:$Y,DB$2+1,FALSE),"")</f>
        <v>宋平</v>
      </c>
      <c r="DC15" s="125" t="str">
        <f>IFERROR(VLOOKUP(DC14,教师安排!$A:$Y,DC$2+1,FALSE),"")</f>
        <v>赵雪敏</v>
      </c>
      <c r="DD15" s="125" t="str">
        <f>IFERROR(VLOOKUP(DD14,教师安排!$A:$Y,DD$2+1,FALSE),"")</f>
        <v>蒋心言</v>
      </c>
      <c r="DE15" s="125" t="str">
        <f>IFERROR(VLOOKUP(DE14,教师安排!$A:$Y,DE$2+1,FALSE),"")</f>
        <v>孙显阳</v>
      </c>
      <c r="DF15" s="125" t="str">
        <f>IFERROR(VLOOKUP(DF14,教师安排!$A:$Y,DF$2+1,FALSE),"")</f>
        <v>张鑫</v>
      </c>
      <c r="DG15" s="125" t="str">
        <f>IFERROR(VLOOKUP(DG14,教师安排!$A:$Y,DG$2+1,FALSE),"")</f>
        <v>李浩然</v>
      </c>
      <c r="DH15" s="125" t="str">
        <f>IFERROR(VLOOKUP(DH14,教师安排!$A:$Y,DH$2+1,FALSE),"")</f>
        <v>王露</v>
      </c>
      <c r="DI15" s="125" t="str">
        <f>IFERROR(VLOOKUP(DI14,教师安排!$A:$Y,DI$2+1,FALSE),"")</f>
        <v>夏文杰</v>
      </c>
      <c r="DJ15" s="125" t="str">
        <f>IFERROR(VLOOKUP(DJ14,教师安排!$A:$Y,DJ$2+1,FALSE),"")</f>
        <v/>
      </c>
      <c r="DK15" s="125" t="str">
        <f>IFERROR(VLOOKUP(DK14,教师安排!$A:$Y,DK$2+1,FALSE),"")</f>
        <v/>
      </c>
      <c r="DL15" s="125" t="str">
        <f>IFERROR(VLOOKUP(DL14,教师安排!$A:$Y,DL$2+1,FALSE),"")</f>
        <v/>
      </c>
      <c r="DM15" s="125" t="str">
        <f>IFERROR(VLOOKUP(DM14,教师安排!$A:$Y,DM$2+1,FALSE),"")</f>
        <v/>
      </c>
      <c r="DN15" s="125"/>
      <c r="DO15" s="125" t="str">
        <f>IFERROR(VLOOKUP(DO14,教师安排!$A:$Y,DO$2+1,FALSE),"")</f>
        <v/>
      </c>
      <c r="DP15" s="125" t="str">
        <f>IFERROR(VLOOKUP(DP14,教师安排!$A:$Y,DP$2+1,FALSE),"")</f>
        <v/>
      </c>
      <c r="DQ15" s="125" t="str">
        <f>IFERROR(VLOOKUP(DQ14,教师安排!$A:$Y,DQ$2+1,FALSE),"")</f>
        <v/>
      </c>
      <c r="DR15" s="125" t="str">
        <f>IFERROR(VLOOKUP(DR14,教师安排!$A:$Y,DR$2+1,FALSE),"")</f>
        <v/>
      </c>
      <c r="DS15" s="124" t="str">
        <f>IFERROR(VLOOKUP(DS14,教师安排!$A:$Y,DS$2+1,FALSE),"")</f>
        <v>李雯</v>
      </c>
      <c r="DT15" s="124" t="str">
        <f>IFERROR(VLOOKUP(DT14,教师安排!$A:$Y,DT$2+1,FALSE),"")</f>
        <v>周兴玲</v>
      </c>
      <c r="DU15" s="124" t="str">
        <f>IFERROR(VLOOKUP(DU14,教师安排!$A:$Y,DU$2+1,FALSE),"")</f>
        <v>张雯皓</v>
      </c>
      <c r="DV15" s="124" t="str">
        <f>IFERROR(VLOOKUP(DV14,教师安排!$A:$Y,DV$2+1,FALSE),"")</f>
        <v>侯淑贤</v>
      </c>
      <c r="DW15" s="124" t="str">
        <f>IFERROR(VLOOKUP(DW14,教师安排!$A:$Y,DW$2+1,FALSE),"")</f>
        <v>赵雪敏</v>
      </c>
      <c r="DX15" s="124" t="str">
        <f>IFERROR(VLOOKUP(DX14,教师安排!$A:$Y,DX$2+1,FALSE),"")</f>
        <v>翟淑玮</v>
      </c>
      <c r="DY15" s="124" t="str">
        <f>IFERROR(VLOOKUP(DY14,教师安排!$A:$Y,DY$2+1,FALSE),"")</f>
        <v>范林林</v>
      </c>
      <c r="DZ15" s="124" t="str">
        <f>IFERROR(VLOOKUP(DZ14,教师安排!$A:$Y,DZ$2+1,FALSE),"")</f>
        <v>宋开元</v>
      </c>
      <c r="EA15" s="124" t="str">
        <f>IFERROR(VLOOKUP(EA14,教师安排!$A:$Y,EA$2+1,FALSE),"")</f>
        <v>田凤美</v>
      </c>
      <c r="EB15" s="124" t="str">
        <f>IFERROR(VLOOKUP(EB14,教师安排!$A:$Y,EB$2+1,FALSE),"")</f>
        <v>孙秋杰</v>
      </c>
      <c r="EC15" s="124" t="str">
        <f>IFERROR(VLOOKUP(EC14,教师安排!$A:$Y,EC$2+1,FALSE),"")</f>
        <v>孙锦锦</v>
      </c>
      <c r="ED15" s="124" t="str">
        <f>IFERROR(VLOOKUP(ED14,教师安排!$A:$Y,ED$2+1,FALSE),"")</f>
        <v>孙娜</v>
      </c>
      <c r="EE15" s="124" t="str">
        <f>IFERROR(VLOOKUP(EE14,教师安排!$A:$Y,EE$2+1,FALSE),"")</f>
        <v>王菲</v>
      </c>
      <c r="EF15" s="124" t="str">
        <f>IFERROR(VLOOKUP(EF14,教师安排!$A:$Y,EF$2+1,FALSE),"")</f>
        <v>王露</v>
      </c>
      <c r="EG15" s="124" t="str">
        <f>IFERROR(VLOOKUP(EG14,教师安排!$A:$Y,EG$2+1,FALSE),"")</f>
        <v>夏文杰</v>
      </c>
      <c r="EH15" s="124" t="str">
        <f>IFERROR(VLOOKUP(EH14,教师安排!$A:$Y,EH$2+1,FALSE),"")</f>
        <v/>
      </c>
      <c r="EI15" s="124" t="str">
        <f>IFERROR(VLOOKUP(EI14,教师安排!$A:$Y,EI$2+1,FALSE),"")</f>
        <v/>
      </c>
      <c r="EJ15" s="124" t="str">
        <f>IFERROR(VLOOKUP(EJ14,教师安排!$A:$Y,EJ$2+1,FALSE),"")</f>
        <v/>
      </c>
      <c r="EK15" s="124" t="str">
        <f>IFERROR(VLOOKUP(EK14,教师安排!$A:$Y,EK$2+1,FALSE),"")</f>
        <v/>
      </c>
      <c r="EL15" s="124"/>
      <c r="EM15" s="124" t="str">
        <f>IFERROR(VLOOKUP(EM14,教师安排!$A:$Y,EM$2+1,FALSE),"")</f>
        <v/>
      </c>
      <c r="EN15" s="124" t="str">
        <f>IFERROR(VLOOKUP(EN14,教师安排!$A:$Y,EN$2+1,FALSE),"")</f>
        <v/>
      </c>
      <c r="EO15" s="124" t="str">
        <f>IFERROR(VLOOKUP(EO14,教师安排!$A:$Y,EO$2+1,FALSE),"")</f>
        <v/>
      </c>
      <c r="EP15" s="124" t="str">
        <f>IFERROR(VLOOKUP(EP14,教师安排!$A:$Y,EP$2+1,FALSE),"")</f>
        <v/>
      </c>
      <c r="EQ15" s="123" t="str">
        <f>IFERROR(VLOOKUP(EQ14,教师安排!$A:$Y,EQ$2+1,FALSE),"")</f>
        <v>马崇庆</v>
      </c>
      <c r="ER15" s="123" t="str">
        <f>IFERROR(VLOOKUP(ER14,教师安排!$A:$Y,ER$2+1,FALSE),"")</f>
        <v>史振塞</v>
      </c>
      <c r="ES15" s="123" t="str">
        <f>IFERROR(VLOOKUP(ES14,教师安排!$A:$Y,ES$2+1,FALSE),"")</f>
        <v>李会玲</v>
      </c>
      <c r="ET15" s="123" t="str">
        <f>IFERROR(VLOOKUP(ET14,教师安排!$A:$Y,ET$2+1,FALSE),"")</f>
        <v>康波</v>
      </c>
      <c r="EU15" s="123" t="str">
        <f>IFERROR(VLOOKUP(EU14,教师安排!$A:$Y,EU$2+1,FALSE),"")</f>
        <v>王灼</v>
      </c>
      <c r="EV15" s="123" t="str">
        <f>IFERROR(VLOOKUP(EV14,教师安排!$A:$Y,EV$2+1,FALSE),"")</f>
        <v>翟淑玮</v>
      </c>
      <c r="EW15" s="123" t="str">
        <f>IFERROR(VLOOKUP(EW14,教师安排!$A:$Y,EW$2+1,FALSE),"")</f>
        <v>范林林</v>
      </c>
      <c r="EX15" s="123" t="str">
        <f>IFERROR(VLOOKUP(EX14,教师安排!$A:$Y,EX$2+1,FALSE),"")</f>
        <v>宋平</v>
      </c>
      <c r="EY15" s="123" t="str">
        <f>IFERROR(VLOOKUP(EY14,教师安排!$A:$Y,EY$2+1,FALSE),"")</f>
        <v>刘腾</v>
      </c>
      <c r="EZ15" s="123" t="str">
        <f>IFERROR(VLOOKUP(EZ14,教师安排!$A:$Y,EZ$2+1,FALSE),"")</f>
        <v>蒋心言</v>
      </c>
      <c r="FA15" s="123" t="str">
        <f>IFERROR(VLOOKUP(FA14,教师安排!$A:$Y,FA$2+1,FALSE),"")</f>
        <v>孙锦锦</v>
      </c>
      <c r="FB15" s="123" t="str">
        <f>IFERROR(VLOOKUP(FB14,教师安排!$A:$Y,FB$2+1,FALSE),"")</f>
        <v>王硕</v>
      </c>
      <c r="FC15" s="123" t="str">
        <f>IFERROR(VLOOKUP(FC14,教师安排!$A:$Y,FC$2+1,FALSE),"")</f>
        <v>夏文杰</v>
      </c>
      <c r="FD15" s="123" t="str">
        <f>IFERROR(VLOOKUP(FD14,教师安排!$A:$Y,FD$2+1,FALSE),"")</f>
        <v>李浩然</v>
      </c>
      <c r="FE15" s="123" t="str">
        <f>IFERROR(VLOOKUP(FE14,教师安排!$A:$Y,FE$2+1,FALSE),"")</f>
        <v>张鑫</v>
      </c>
      <c r="FF15" s="123" t="str">
        <f>IFERROR(VLOOKUP(FF14,教师安排!$A:$Y,FF$2+1,FALSE),"")</f>
        <v/>
      </c>
      <c r="FG15" s="123" t="str">
        <f>IFERROR(VLOOKUP(FG14,教师安排!$A:$Y,FG$2+1,FALSE),"")</f>
        <v/>
      </c>
      <c r="FH15" s="123" t="str">
        <f>IFERROR(VLOOKUP(FH14,教师安排!$A:$Y,FH$2+1,FALSE),"")</f>
        <v/>
      </c>
      <c r="FI15" s="123" t="str">
        <f>IFERROR(VLOOKUP(FI14,教师安排!$A:$Y,FI$2+1,FALSE),"")</f>
        <v/>
      </c>
      <c r="FJ15" s="123"/>
      <c r="FK15" s="123" t="str">
        <f>IFERROR(VLOOKUP(FK14,教师安排!$A:$Y,FK$2+1,FALSE),"")</f>
        <v/>
      </c>
      <c r="FL15" s="123" t="str">
        <f>IFERROR(VLOOKUP(FL14,教师安排!$A:$Y,FL$2+1,FALSE),"")</f>
        <v/>
      </c>
      <c r="FM15" s="123" t="str">
        <f>IFERROR(VLOOKUP(FM14,教师安排!$A:$Y,FM$2+1,FALSE),"")</f>
        <v/>
      </c>
      <c r="FN15" s="123" t="str">
        <f>IFERROR(VLOOKUP(FN14,教师安排!$A:$Y,FN$2+1,FALSE),"")</f>
        <v/>
      </c>
      <c r="FO15" s="126" t="str">
        <f>IFERROR(VLOOKUP(FO14,教师安排!$A:$Y,FO$2+1,FALSE),"")</f>
        <v>李雯</v>
      </c>
      <c r="FP15" s="126" t="str">
        <f>IFERROR(VLOOKUP(FP14,教师安排!$A:$Y,FP$2+1,FALSE),"")</f>
        <v>周兴玲</v>
      </c>
      <c r="FQ15" s="126" t="str">
        <f>IFERROR(VLOOKUP(FQ14,教师安排!$A:$Y,FQ$2+1,FALSE),"")</f>
        <v>宋开元</v>
      </c>
      <c r="FR15" s="126" t="str">
        <f>IFERROR(VLOOKUP(FR14,教师安排!$A:$Y,FR$2+1,FALSE),"")</f>
        <v>王庆超</v>
      </c>
      <c r="FS15" s="126" t="str">
        <f>IFERROR(VLOOKUP(FS14,教师安排!$A:$Y,FS$2+1,FALSE),"")</f>
        <v>孙显阳</v>
      </c>
      <c r="FT15" s="126" t="str">
        <f>IFERROR(VLOOKUP(FT14,教师安排!$A:$Y,FT$2+1,FALSE),"")</f>
        <v>孙存义</v>
      </c>
      <c r="FU15" s="126" t="str">
        <f>IFERROR(VLOOKUP(FU14,教师安排!$A:$Y,FU$2+1,FALSE),"")</f>
        <v>马崇庆</v>
      </c>
      <c r="FV15" s="126" t="str">
        <f>IFERROR(VLOOKUP(FV14,教师安排!$A:$Y,FV$2+1,FALSE),"")</f>
        <v>康波</v>
      </c>
      <c r="FW15" s="126" t="str">
        <f>IFERROR(VLOOKUP(FW14,教师安排!$A:$Y,FW$2+1,FALSE),"")</f>
        <v>田凤美</v>
      </c>
      <c r="FX15" s="126" t="str">
        <f>IFERROR(VLOOKUP(FX14,教师安排!$A:$Y,FX$2+1,FALSE),"")</f>
        <v>蒋心言</v>
      </c>
      <c r="FY15" s="126" t="str">
        <f>IFERROR(VLOOKUP(FY14,教师安排!$A:$Y,FY$2+1,FALSE),"")</f>
        <v>刘天骄</v>
      </c>
      <c r="FZ15" s="126" t="str">
        <f>IFERROR(VLOOKUP(FZ14,教师安排!$A:$Y,FZ$2+1,FALSE),"")</f>
        <v>王硕</v>
      </c>
      <c r="GA15" s="126" t="str">
        <f>IFERROR(VLOOKUP(GA14,教师安排!$A:$Y,GA$2+1,FALSE),"")</f>
        <v>范林林</v>
      </c>
      <c r="GB15" s="126" t="str">
        <f>IFERROR(VLOOKUP(GB14,教师安排!$A:$Y,GB$2+1,FALSE),"")</f>
        <v>王露</v>
      </c>
      <c r="GC15" s="126" t="str">
        <f>IFERROR(VLOOKUP(GC14,教师安排!$A:$Y,GC$2+1,FALSE),"")</f>
        <v>孙秋杰</v>
      </c>
      <c r="GD15" s="126" t="str">
        <f>IFERROR(VLOOKUP(GD14,教师安排!$A:$Y,GD$2+1,FALSE),"")</f>
        <v/>
      </c>
      <c r="GE15" s="126" t="str">
        <f>IFERROR(VLOOKUP(GE14,教师安排!$A:$Y,GE$2+1,FALSE),"")</f>
        <v/>
      </c>
      <c r="GF15" s="126" t="str">
        <f>IFERROR(VLOOKUP(GF14,教师安排!$A:$Y,GF$2+1,FALSE),"")</f>
        <v/>
      </c>
      <c r="GG15" s="126" t="str">
        <f>IFERROR(VLOOKUP(GG14,教师安排!$A:$Y,GG$2+1,FALSE),"")</f>
        <v/>
      </c>
      <c r="GH15" s="126"/>
      <c r="GI15" s="126" t="str">
        <f>IFERROR(VLOOKUP(GI14,教师安排!$A:$Y,GI$2+1,FALSE),"")</f>
        <v/>
      </c>
      <c r="GJ15" s="126" t="str">
        <f>IFERROR(VLOOKUP(GJ14,教师安排!$A:$Y,GJ$2+1,FALSE),"")</f>
        <v/>
      </c>
      <c r="GK15" s="126" t="str">
        <f>IFERROR(VLOOKUP(GK14,教师安排!$A:$Y,GK$2+1,FALSE),"")</f>
        <v/>
      </c>
      <c r="GL15" s="126" t="str">
        <f>IFERROR(VLOOKUP(GL14,教师安排!$A:$Y,GL$2+1,FALSE),"")</f>
        <v/>
      </c>
      <c r="GM15" s="125" t="str">
        <f>IFERROR(VLOOKUP(GM14,教师安排!$A:$Y,GM$2+1,FALSE),"")</f>
        <v>岳/厉</v>
      </c>
      <c r="GN15" s="125" t="str">
        <f>IFERROR(VLOOKUP(GN14,教师安排!$A:$Y,GN$2+1,FALSE),"")</f>
        <v>张喆</v>
      </c>
      <c r="GO15" s="125" t="str">
        <f>IFERROR(VLOOKUP(GO14,教师安排!$A:$Y,GO$2+1,FALSE),"")</f>
        <v>杨彬</v>
      </c>
      <c r="GP15" s="125" t="str">
        <f>IFERROR(VLOOKUP(GP14,教师安排!$A:$Y,GP$2+1,FALSE),"")</f>
        <v>岳/厉</v>
      </c>
      <c r="GQ15" s="125" t="str">
        <f>IFERROR(VLOOKUP(GQ14,教师安排!$A:$Y,GQ$2+1,FALSE),"")</f>
        <v>李振铎</v>
      </c>
      <c r="GR15" s="125" t="str">
        <f>IFERROR(VLOOKUP(GR14,教师安排!$A:$Y,GR$2+1,FALSE),"")</f>
        <v>翟淑玮</v>
      </c>
      <c r="GS15" s="125" t="str">
        <f>IFERROR(VLOOKUP(GS14,教师安排!$A:$Y,GS$2+1,FALSE),"")</f>
        <v>韩丽梅</v>
      </c>
      <c r="GT15" s="125" t="str">
        <f>IFERROR(VLOOKUP(GT14,教师安排!$A:$Y,GT$2+1,FALSE),"")</f>
        <v>康波</v>
      </c>
      <c r="GU15" s="125" t="str">
        <f>IFERROR(VLOOKUP(GU14,教师安排!$A:$Y,GU$2+1,FALSE),"")</f>
        <v>王硕</v>
      </c>
      <c r="GV15" s="125" t="str">
        <f>IFERROR(VLOOKUP(GV14,教师安排!$A:$Y,GV$2+1,FALSE),"")</f>
        <v>孙秋杰</v>
      </c>
      <c r="GW15" s="125" t="str">
        <f>IFERROR(VLOOKUP(GW14,教师安排!$A:$Y,GW$2+1,FALSE),"")</f>
        <v>孙显阳</v>
      </c>
      <c r="GX15" s="125" t="str">
        <f>IFERROR(VLOOKUP(GX14,教师安排!$A:$Y,GX$2+1,FALSE),"")</f>
        <v>董艳华</v>
      </c>
      <c r="GY15" s="125" t="str">
        <f>IFERROR(VLOOKUP(GY14,教师安排!$A:$Y,GY$2+1,FALSE),"")</f>
        <v>夏文杰</v>
      </c>
      <c r="GZ15" s="125" t="str">
        <f>IFERROR(VLOOKUP(GZ14,教师安排!$A:$Y,GZ$2+1,FALSE),"")</f>
        <v>姜媛媛</v>
      </c>
      <c r="HA15" s="125" t="str">
        <f>IFERROR(VLOOKUP(HA14,教师安排!$A:$Y,HA$2+1,FALSE),"")</f>
        <v>张鑫</v>
      </c>
      <c r="HB15" s="125" t="str">
        <f>IFERROR(VLOOKUP(HB14,教师安排!$A:$Y,HB$2+1,FALSE),"")</f>
        <v>岳海霞</v>
      </c>
      <c r="HC15" s="125" t="str">
        <f>IFERROR(VLOOKUP(HC14,教师安排!$A:$Y,HC$2+1,FALSE),"")</f>
        <v/>
      </c>
      <c r="HD15" s="125" t="str">
        <f>IFERROR(VLOOKUP(HD14,教师安排!$A:$Y,HD$2+1,FALSE),"")</f>
        <v>厉彦龙</v>
      </c>
      <c r="HE15" s="125" t="str">
        <f>IFERROR(VLOOKUP(HE14,教师安排!$A:$Y,HE$2+1,FALSE),"")</f>
        <v/>
      </c>
      <c r="HF15" s="125"/>
      <c r="HG15" s="125" t="str">
        <f>IFERROR(VLOOKUP(HG14,教师安排!$A:$Y,HG$2+1,FALSE),"")</f>
        <v/>
      </c>
      <c r="HH15" s="125" t="str">
        <f>IFERROR(VLOOKUP(HH14,教师安排!$A:$Y,HH$2+1,FALSE),"")</f>
        <v/>
      </c>
      <c r="HI15" s="125" t="str">
        <f>IFERROR(VLOOKUP(HI14,教师安排!$A:$Y,HI$2+1,FALSE),"")</f>
        <v/>
      </c>
      <c r="HJ15" s="125" t="str">
        <f>IFERROR(VLOOKUP(HJ14,教师安排!$A:$Y,HJ$2+1,FALSE),"")</f>
        <v/>
      </c>
      <c r="HK15" s="126" t="str">
        <f>IFERROR(VLOOKUP(HK14,教师安排!$A:$Y,HK$2+1,FALSE),"")</f>
        <v>张喆</v>
      </c>
      <c r="HL15" s="126" t="str">
        <f>IFERROR(VLOOKUP(HL14,教师安排!$A:$Y,HL$2+1,FALSE),"")</f>
        <v>刘珊珊</v>
      </c>
      <c r="HM15" s="126" t="str">
        <f>IFERROR(VLOOKUP(HM14,教师安排!$A:$Y,HM$2+1,FALSE),"")</f>
        <v>杨彬</v>
      </c>
      <c r="HN15" s="126" t="str">
        <f>IFERROR(VLOOKUP(HN14,教师安排!$A:$Y,HN$2+1,FALSE),"")</f>
        <v>康波</v>
      </c>
      <c r="HO15" s="126" t="str">
        <f>IFERROR(VLOOKUP(HO14,教师安排!$A:$Y,HO$2+1,FALSE),"")</f>
        <v>张冰雪</v>
      </c>
      <c r="HP15" s="126" t="str">
        <f>IFERROR(VLOOKUP(HP14,教师安排!$A:$Y,HP$2+1,FALSE),"")</f>
        <v>姜媛媛</v>
      </c>
      <c r="HQ15" s="126" t="str">
        <f>IFERROR(VLOOKUP(HQ14,教师安排!$A:$Y,HQ$2+1,FALSE),"")</f>
        <v>王雪莲</v>
      </c>
      <c r="HR15" s="126" t="str">
        <f>IFERROR(VLOOKUP(HR14,教师安排!$A:$Y,HR$2+1,FALSE),"")</f>
        <v>路睿</v>
      </c>
      <c r="HS15" s="126" t="str">
        <f>IFERROR(VLOOKUP(HS14,教师安排!$A:$Y,HS$2+1,FALSE),"")</f>
        <v>赵雪敏</v>
      </c>
      <c r="HT15" s="126" t="str">
        <f>IFERROR(VLOOKUP(HT14,教师安排!$A:$Y,HT$2+1,FALSE),"")</f>
        <v>王菲</v>
      </c>
      <c r="HU15" s="126" t="str">
        <f>IFERROR(VLOOKUP(HU14,教师安排!$A:$Y,HU$2+1,FALSE),"")</f>
        <v>范林林</v>
      </c>
      <c r="HV15" s="126" t="str">
        <f>IFERROR(VLOOKUP(HV14,教师安排!$A:$Y,HV$2+1,FALSE),"")</f>
        <v>王硕</v>
      </c>
      <c r="HW15" s="126" t="str">
        <f>IFERROR(VLOOKUP(HW14,教师安排!$A:$Y,HW$2+1,FALSE),"")</f>
        <v>孙显阳</v>
      </c>
      <c r="HX15" s="126" t="str">
        <f>IFERROR(VLOOKUP(HX14,教师安排!$A:$Y,HX$2+1,FALSE),"")</f>
        <v>王露</v>
      </c>
      <c r="HY15" s="126" t="str">
        <f>IFERROR(VLOOKUP(HY14,教师安排!$A:$Y,HY$2+1,FALSE),"")</f>
        <v>高文凤</v>
      </c>
      <c r="HZ15" s="126" t="str">
        <f>IFERROR(VLOOKUP(HZ14,教师安排!$A:$Y,HZ$2+1,FALSE),"")</f>
        <v/>
      </c>
      <c r="IA15" s="126" t="str">
        <f>IFERROR(VLOOKUP(IA14,教师安排!$A:$Y,IA$2+1,FALSE),"")</f>
        <v/>
      </c>
      <c r="IB15" s="126" t="str">
        <f>IFERROR(VLOOKUP(IB14,教师安排!$A:$Y,IB$2+1,FALSE),"")</f>
        <v/>
      </c>
      <c r="IC15" s="126" t="str">
        <f>IFERROR(VLOOKUP(IC14,教师安排!$A:$Y,IC$2+1,FALSE),"")</f>
        <v/>
      </c>
      <c r="ID15" s="126"/>
      <c r="IE15" s="126" t="str">
        <f>IFERROR(VLOOKUP(IE14,教师安排!$A:$Y,IE$2+1,FALSE),"")</f>
        <v/>
      </c>
      <c r="IF15" s="126" t="str">
        <f>IFERROR(VLOOKUP(IF14,教师安排!$A:$Y,IF$2+1,FALSE),"")</f>
        <v/>
      </c>
      <c r="IG15" s="126" t="str">
        <f>IFERROR(VLOOKUP(IG14,教师安排!$A:$Y,IG$2+1,FALSE),"")</f>
        <v/>
      </c>
      <c r="IH15" s="126" t="str">
        <f>IFERROR(VLOOKUP(IH14,教师安排!$A:$Y,IH$2+1,FALSE),"")</f>
        <v/>
      </c>
      <c r="II15" s="125" t="str">
        <f>IFERROR(VLOOKUP(II14,教师安排!$A:$Y,II$2+1,FALSE),"")</f>
        <v>岳/厉</v>
      </c>
      <c r="IJ15" s="125" t="str">
        <f>IFERROR(VLOOKUP(IJ14,教师安排!$A:$Y,IJ$2+1,FALSE),"")</f>
        <v>姚来朋</v>
      </c>
      <c r="IK15" s="125" t="str">
        <f>IFERROR(VLOOKUP(IK14,教师安排!$A:$Y,IK$2+1,FALSE),"")</f>
        <v>张雨晴</v>
      </c>
      <c r="IL15" s="125" t="str">
        <f>IFERROR(VLOOKUP(IL14,教师安排!$A:$Y,IL$2+1,FALSE),"")</f>
        <v>岳/厉</v>
      </c>
      <c r="IM15" s="125" t="str">
        <f>IFERROR(VLOOKUP(IM14,教师安排!$A:$Y,IM$2+1,FALSE),"")</f>
        <v>张冰雪</v>
      </c>
      <c r="IN15" s="125" t="str">
        <f>IFERROR(VLOOKUP(IN14,教师安排!$A:$Y,IN$2+1,FALSE),"")</f>
        <v>姜媛媛</v>
      </c>
      <c r="IO15" s="125" t="str">
        <f>IFERROR(VLOOKUP(IO14,教师安排!$A:$Y,IO$2+1,FALSE),"")</f>
        <v>范林林</v>
      </c>
      <c r="IP15" s="125" t="str">
        <f>IFERROR(VLOOKUP(IP14,教师安排!$A:$Y,IP$2+1,FALSE),"")</f>
        <v>宋开元</v>
      </c>
      <c r="IQ15" s="125" t="str">
        <f>IFERROR(VLOOKUP(IQ14,教师安排!$A:$Y,IQ$2+1,FALSE),"")</f>
        <v>王灼</v>
      </c>
      <c r="IR15" s="125" t="str">
        <f>IFERROR(VLOOKUP(IR14,教师安排!$A:$Y,IR$2+1,FALSE),"")</f>
        <v>胡存想</v>
      </c>
      <c r="IS15" s="125" t="str">
        <f>IFERROR(VLOOKUP(IS14,教师安排!$A:$Y,IS$2+1,FALSE),"")</f>
        <v>田凤美</v>
      </c>
      <c r="IT15" s="125" t="str">
        <f>IFERROR(VLOOKUP(IT14,教师安排!$A:$Y,IT$2+1,FALSE),"")</f>
        <v>张喆</v>
      </c>
      <c r="IU15" s="125" t="str">
        <f>IFERROR(VLOOKUP(IU14,教师安排!$A:$Y,IU$2+1,FALSE),"")</f>
        <v>王菲</v>
      </c>
      <c r="IV15" s="125" t="str">
        <f>IFERROR(VLOOKUP(IV14,教师安排!$A:$Y,IV$2+1,FALSE),"")</f>
        <v>王露</v>
      </c>
      <c r="IW15" s="125" t="str">
        <f>IFERROR(VLOOKUP(IW14,教师安排!$A:$Y,IW$2+1,FALSE),"")</f>
        <v>张鑫</v>
      </c>
      <c r="IX15" s="125" t="str">
        <f>IFERROR(VLOOKUP(IX14,教师安排!$A:$Y,IX$2+1,FALSE),"")</f>
        <v>岳海霞</v>
      </c>
      <c r="IY15" s="125" t="str">
        <f>IFERROR(VLOOKUP(IY14,教师安排!$A:$Y,IY$2+1,FALSE),"")</f>
        <v/>
      </c>
      <c r="IZ15" s="125" t="str">
        <f>IFERROR(VLOOKUP(IZ14,教师安排!$A:$Y,IZ$2+1,FALSE),"")</f>
        <v>厉彦龙</v>
      </c>
      <c r="JA15" s="125" t="str">
        <f>IFERROR(VLOOKUP(JA14,教师安排!$A:$Y,JA$2+1,FALSE),"")</f>
        <v/>
      </c>
      <c r="JB15" s="125"/>
      <c r="JC15" s="125" t="str">
        <f>IFERROR(VLOOKUP(JC14,教师安排!$A:$Y,JC$2+1,FALSE),"")</f>
        <v/>
      </c>
      <c r="JD15" s="125" t="str">
        <f>IFERROR(VLOOKUP(JD14,教师安排!$A:$Y,JD$2+1,FALSE),"")</f>
        <v/>
      </c>
      <c r="JE15" s="125" t="str">
        <f>IFERROR(VLOOKUP(JE14,教师安排!$A:$Y,JE$2+1,FALSE),"")</f>
        <v/>
      </c>
      <c r="JF15" s="125" t="str">
        <f>IFERROR(VLOOKUP(JF14,教师安排!$A:$Y,JF$2+1,FALSE),"")</f>
        <v/>
      </c>
      <c r="JG15" s="126" t="str">
        <f>IFERROR(VLOOKUP(JG14,教师安排!$A:$Y,JG$2+1,FALSE),"")</f>
        <v>康波</v>
      </c>
      <c r="JH15" s="126" t="str">
        <f>IFERROR(VLOOKUP(JH14,教师安排!$A:$Y,JH$2+1,FALSE),"")</f>
        <v>张雨晴</v>
      </c>
      <c r="JI15" s="126" t="str">
        <f>IFERROR(VLOOKUP(JI14,教师安排!$A:$Y,JI$2+1,FALSE),"")</f>
        <v>李冰慧</v>
      </c>
      <c r="JJ15" s="126" t="str">
        <f>IFERROR(VLOOKUP(JJ14,教师安排!$A:$Y,JJ$2+1,FALSE),"")</f>
        <v>刘珊珊</v>
      </c>
      <c r="JK15" s="126" t="str">
        <f>IFERROR(VLOOKUP(JK14,教师安排!$A:$Y,JK$2+1,FALSE),"")</f>
        <v>王灼</v>
      </c>
      <c r="JL15" s="126" t="str">
        <f>IFERROR(VLOOKUP(JL14,教师安排!$A:$Y,JL$2+1,FALSE),"")</f>
        <v>翟淑玮</v>
      </c>
      <c r="JM15" s="126" t="str">
        <f>IFERROR(VLOOKUP(JM14,教师安排!$A:$Y,JM$2+1,FALSE),"")</f>
        <v>范林林</v>
      </c>
      <c r="JN15" s="126" t="str">
        <f>IFERROR(VLOOKUP(JN14,教师安排!$A:$Y,JN$2+1,FALSE),"")</f>
        <v>宋平</v>
      </c>
      <c r="JO15" s="126" t="str">
        <f>IFERROR(VLOOKUP(JO14,教师安排!$A:$Y,JO$2+1,FALSE),"")</f>
        <v>赵雪敏</v>
      </c>
      <c r="JP15" s="126" t="str">
        <f>IFERROR(VLOOKUP(JP14,教师安排!$A:$Y,JP$2+1,FALSE),"")</f>
        <v>蒋心言</v>
      </c>
      <c r="JQ15" s="126" t="str">
        <f>IFERROR(VLOOKUP(JQ14,教师安排!$A:$Y,JQ$2+1,FALSE),"")</f>
        <v>孙锦锦</v>
      </c>
      <c r="JR15" s="126" t="str">
        <f>IFERROR(VLOOKUP(JR14,教师安排!$A:$Y,JR$2+1,FALSE),"")</f>
        <v>孙显阳</v>
      </c>
      <c r="JS15" s="126" t="str">
        <f>IFERROR(VLOOKUP(JS14,教师安排!$A:$Y,JS$2+1,FALSE),"")</f>
        <v>李浩然</v>
      </c>
      <c r="JT15" s="126" t="str">
        <f>IFERROR(VLOOKUP(JT14,教师安排!$A:$Y,JT$2+1,FALSE),"")</f>
        <v>王露</v>
      </c>
      <c r="JU15" s="126" t="str">
        <f>IFERROR(VLOOKUP(JU14,教师安排!$A:$Y,JU$2+1,FALSE),"")</f>
        <v>夏文杰</v>
      </c>
      <c r="JV15" s="126" t="str">
        <f>IFERROR(VLOOKUP(JV14,教师安排!$A:$Y,JV$2+1,FALSE),"")</f>
        <v/>
      </c>
      <c r="JW15" s="126" t="str">
        <f>IFERROR(VLOOKUP(JW14,教师安排!$A:$Y,JW$2+1,FALSE),"")</f>
        <v/>
      </c>
      <c r="JX15" s="126" t="str">
        <f>IFERROR(VLOOKUP(JX14,教师安排!$A:$Y,JX$2+1,FALSE),"")</f>
        <v/>
      </c>
      <c r="JY15" s="126" t="str">
        <f>IFERROR(VLOOKUP(JY14,教师安排!$A:$Y,JY$2+1,FALSE),"")</f>
        <v/>
      </c>
      <c r="JZ15" s="126"/>
      <c r="KA15" s="126" t="str">
        <f>IFERROR(VLOOKUP(KA14,教师安排!$A:$Y,KA$2+1,FALSE),"")</f>
        <v/>
      </c>
      <c r="KB15" s="126" t="str">
        <f>IFERROR(VLOOKUP(KB14,教师安排!$A:$Y,KB$2+1,FALSE),"")</f>
        <v/>
      </c>
      <c r="KC15" s="126" t="str">
        <f>IFERROR(VLOOKUP(KC14,教师安排!$A:$Y,KC$2+1,FALSE),"")</f>
        <v/>
      </c>
      <c r="KD15" s="126" t="str">
        <f>IFERROR(VLOOKUP(KD14,教师安排!$A:$Y,KD$2+1,FALSE),"")</f>
        <v/>
      </c>
    </row>
    <row r="16" spans="1:290" s="116" customFormat="1" ht="18" customHeight="1" x14ac:dyDescent="0.4">
      <c r="A16" s="145"/>
      <c r="B16" s="143">
        <v>4</v>
      </c>
      <c r="C16" s="121" t="s">
        <v>71</v>
      </c>
      <c r="D16" s="121" t="s">
        <v>26</v>
      </c>
      <c r="E16" s="121" t="s">
        <v>71</v>
      </c>
      <c r="F16" s="121" t="s">
        <v>34</v>
      </c>
      <c r="G16" s="121" t="s">
        <v>54</v>
      </c>
      <c r="H16" s="121" t="s">
        <v>34</v>
      </c>
      <c r="I16" s="121" t="s">
        <v>76</v>
      </c>
      <c r="J16" s="121" t="s">
        <v>54</v>
      </c>
      <c r="K16" s="121" t="s">
        <v>26</v>
      </c>
      <c r="L16" s="121" t="s">
        <v>26</v>
      </c>
      <c r="M16" s="121" t="s">
        <v>134</v>
      </c>
      <c r="N16" s="121" t="s">
        <v>66</v>
      </c>
      <c r="O16" s="121" t="s">
        <v>71</v>
      </c>
      <c r="P16" s="121" t="s">
        <v>26</v>
      </c>
      <c r="Q16" s="121" t="s">
        <v>66</v>
      </c>
      <c r="R16" s="121"/>
      <c r="S16" s="121"/>
      <c r="T16" s="121"/>
      <c r="U16" s="121"/>
      <c r="V16" s="121"/>
      <c r="W16" s="121"/>
      <c r="X16" s="121"/>
      <c r="Y16" s="121"/>
      <c r="Z16" s="121"/>
      <c r="AA16" s="122" t="s">
        <v>42</v>
      </c>
      <c r="AB16" s="122" t="s">
        <v>87</v>
      </c>
      <c r="AC16" s="122" t="s">
        <v>76</v>
      </c>
      <c r="AD16" s="122" t="s">
        <v>42</v>
      </c>
      <c r="AE16" s="122" t="s">
        <v>34</v>
      </c>
      <c r="AF16" s="122" t="s">
        <v>34</v>
      </c>
      <c r="AG16" s="122" t="s">
        <v>26</v>
      </c>
      <c r="AH16" s="122" t="s">
        <v>54</v>
      </c>
      <c r="AI16" s="122" t="s">
        <v>42</v>
      </c>
      <c r="AJ16" s="122" t="s">
        <v>34</v>
      </c>
      <c r="AK16" s="122" t="s">
        <v>134</v>
      </c>
      <c r="AL16" s="122" t="s">
        <v>89</v>
      </c>
      <c r="AM16" s="122" t="s">
        <v>76</v>
      </c>
      <c r="AN16" s="122" t="s">
        <v>26</v>
      </c>
      <c r="AO16" s="122" t="s">
        <v>66</v>
      </c>
      <c r="AP16" s="122" t="s">
        <v>136</v>
      </c>
      <c r="AQ16" s="122"/>
      <c r="AR16" s="122" t="s">
        <v>138</v>
      </c>
      <c r="AS16" s="122"/>
      <c r="AT16" s="122"/>
      <c r="AU16" s="122"/>
      <c r="AV16" s="122"/>
      <c r="AW16" s="122"/>
      <c r="AX16" s="122"/>
      <c r="AY16" s="121" t="s">
        <v>54</v>
      </c>
      <c r="AZ16" s="121" t="s">
        <v>62</v>
      </c>
      <c r="BA16" s="121" t="s">
        <v>89</v>
      </c>
      <c r="BB16" s="121" t="s">
        <v>71</v>
      </c>
      <c r="BC16" s="121" t="s">
        <v>26</v>
      </c>
      <c r="BD16" s="121" t="s">
        <v>92</v>
      </c>
      <c r="BE16" s="121" t="s">
        <v>34</v>
      </c>
      <c r="BF16" s="121" t="s">
        <v>76</v>
      </c>
      <c r="BG16" s="121" t="s">
        <v>34</v>
      </c>
      <c r="BH16" s="121" t="s">
        <v>62</v>
      </c>
      <c r="BI16" s="121" t="s">
        <v>134</v>
      </c>
      <c r="BJ16" s="121" t="s">
        <v>34</v>
      </c>
      <c r="BK16" s="121" t="s">
        <v>71</v>
      </c>
      <c r="BL16" s="121" t="s">
        <v>34</v>
      </c>
      <c r="BM16" s="121" t="s">
        <v>71</v>
      </c>
      <c r="BN16" s="121"/>
      <c r="BO16" s="121"/>
      <c r="BP16" s="121"/>
      <c r="BQ16" s="121"/>
      <c r="BR16" s="121"/>
      <c r="BS16" s="121"/>
      <c r="BT16" s="121"/>
      <c r="BU16" s="121"/>
      <c r="BV16" s="121"/>
      <c r="BW16" s="122" t="s">
        <v>34</v>
      </c>
      <c r="BX16" s="122" t="s">
        <v>42</v>
      </c>
      <c r="BY16" s="122" t="s">
        <v>42</v>
      </c>
      <c r="BZ16" s="122" t="s">
        <v>54</v>
      </c>
      <c r="CA16" s="122" t="s">
        <v>62</v>
      </c>
      <c r="CB16" s="122" t="s">
        <v>62</v>
      </c>
      <c r="CC16" s="122" t="s">
        <v>54</v>
      </c>
      <c r="CD16" s="122" t="s">
        <v>58</v>
      </c>
      <c r="CE16" s="122" t="s">
        <v>42</v>
      </c>
      <c r="CF16" s="122" t="s">
        <v>42</v>
      </c>
      <c r="CG16" s="122" t="s">
        <v>134</v>
      </c>
      <c r="CH16" s="122" t="s">
        <v>26</v>
      </c>
      <c r="CI16" s="122" t="s">
        <v>66</v>
      </c>
      <c r="CJ16" s="122" t="s">
        <v>26</v>
      </c>
      <c r="CK16" s="122" t="s">
        <v>26</v>
      </c>
      <c r="CL16" s="122"/>
      <c r="CM16" s="122" t="s">
        <v>136</v>
      </c>
      <c r="CN16" s="122"/>
      <c r="CO16" s="122" t="s">
        <v>138</v>
      </c>
      <c r="CP16" s="122"/>
      <c r="CQ16" s="122"/>
      <c r="CR16" s="122"/>
      <c r="CS16" s="122"/>
      <c r="CT16" s="122"/>
      <c r="CU16" s="121" t="s">
        <v>42</v>
      </c>
      <c r="CV16" s="121" t="s">
        <v>76</v>
      </c>
      <c r="CW16" s="121" t="s">
        <v>62</v>
      </c>
      <c r="CX16" s="121" t="s">
        <v>42</v>
      </c>
      <c r="CY16" s="121" t="s">
        <v>34</v>
      </c>
      <c r="CZ16" s="121" t="s">
        <v>34</v>
      </c>
      <c r="DA16" s="121" t="s">
        <v>54</v>
      </c>
      <c r="DB16" s="121" t="s">
        <v>89</v>
      </c>
      <c r="DC16" s="121" t="s">
        <v>62</v>
      </c>
      <c r="DD16" s="121" t="s">
        <v>76</v>
      </c>
      <c r="DE16" s="121" t="s">
        <v>134</v>
      </c>
      <c r="DF16" s="121" t="s">
        <v>66</v>
      </c>
      <c r="DG16" s="121" t="s">
        <v>89</v>
      </c>
      <c r="DH16" s="121" t="s">
        <v>26</v>
      </c>
      <c r="DI16" s="121" t="s">
        <v>26</v>
      </c>
      <c r="DJ16" s="121" t="s">
        <v>136</v>
      </c>
      <c r="DK16" s="121"/>
      <c r="DL16" s="121" t="s">
        <v>138</v>
      </c>
      <c r="DM16" s="121"/>
      <c r="DN16" s="121"/>
      <c r="DO16" s="121"/>
      <c r="DP16" s="121"/>
      <c r="DQ16" s="121"/>
      <c r="DR16" s="121"/>
      <c r="DS16" s="122" t="s">
        <v>66</v>
      </c>
      <c r="DT16" s="122" t="s">
        <v>58</v>
      </c>
      <c r="DU16" s="122" t="s">
        <v>34</v>
      </c>
      <c r="DV16" s="122" t="s">
        <v>34</v>
      </c>
      <c r="DW16" s="122" t="s">
        <v>58</v>
      </c>
      <c r="DX16" s="122" t="s">
        <v>54</v>
      </c>
      <c r="DY16" s="122" t="s">
        <v>26</v>
      </c>
      <c r="DZ16" s="122" t="s">
        <v>76</v>
      </c>
      <c r="EA16" s="122" t="s">
        <v>66</v>
      </c>
      <c r="EB16" s="122" t="s">
        <v>26</v>
      </c>
      <c r="EC16" s="122" t="s">
        <v>71</v>
      </c>
      <c r="ED16" s="122" t="s">
        <v>34</v>
      </c>
      <c r="EE16" s="122" t="s">
        <v>34</v>
      </c>
      <c r="EF16" s="122" t="s">
        <v>34</v>
      </c>
      <c r="EG16" s="122" t="s">
        <v>34</v>
      </c>
      <c r="EH16" s="122"/>
      <c r="EI16" s="122"/>
      <c r="EJ16" s="122"/>
      <c r="EK16" s="122"/>
      <c r="EL16" s="122"/>
      <c r="EM16" s="122"/>
      <c r="EN16" s="122"/>
      <c r="EO16" s="122"/>
      <c r="EP16" s="122"/>
      <c r="EQ16" s="121" t="s">
        <v>42</v>
      </c>
      <c r="ER16" s="121" t="s">
        <v>26</v>
      </c>
      <c r="ES16" s="121" t="s">
        <v>76</v>
      </c>
      <c r="ET16" s="121" t="s">
        <v>42</v>
      </c>
      <c r="EU16" s="121" t="s">
        <v>42</v>
      </c>
      <c r="EV16" s="121" t="s">
        <v>62</v>
      </c>
      <c r="EW16" s="121" t="s">
        <v>34</v>
      </c>
      <c r="EX16" s="121" t="s">
        <v>54</v>
      </c>
      <c r="EY16" s="121" t="s">
        <v>62</v>
      </c>
      <c r="EZ16" s="121" t="s">
        <v>76</v>
      </c>
      <c r="FA16" s="121" t="s">
        <v>76</v>
      </c>
      <c r="FB16" s="121" t="s">
        <v>71</v>
      </c>
      <c r="FC16" s="121" t="s">
        <v>71</v>
      </c>
      <c r="FD16" s="121" t="s">
        <v>66</v>
      </c>
      <c r="FE16" s="121" t="s">
        <v>66</v>
      </c>
      <c r="FF16" s="121" t="s">
        <v>136</v>
      </c>
      <c r="FG16" s="121"/>
      <c r="FH16" s="121" t="s">
        <v>138</v>
      </c>
      <c r="FI16" s="121"/>
      <c r="FJ16" s="121"/>
      <c r="FK16" s="121"/>
      <c r="FL16" s="121"/>
      <c r="FM16" s="121"/>
      <c r="FN16" s="121"/>
      <c r="FO16" s="122" t="s">
        <v>76</v>
      </c>
      <c r="FP16" s="122" t="s">
        <v>26</v>
      </c>
      <c r="FQ16" s="122" t="s">
        <v>71</v>
      </c>
      <c r="FR16" s="122" t="s">
        <v>34</v>
      </c>
      <c r="FS16" s="122" t="s">
        <v>54</v>
      </c>
      <c r="FT16" s="122" t="s">
        <v>34</v>
      </c>
      <c r="FU16" s="122" t="s">
        <v>76</v>
      </c>
      <c r="FV16" s="122" t="s">
        <v>54</v>
      </c>
      <c r="FW16" s="122" t="s">
        <v>26</v>
      </c>
      <c r="FX16" s="122" t="s">
        <v>26</v>
      </c>
      <c r="FY16" s="122" t="s">
        <v>134</v>
      </c>
      <c r="FZ16" s="122" t="s">
        <v>66</v>
      </c>
      <c r="GA16" s="122" t="s">
        <v>71</v>
      </c>
      <c r="GB16" s="122" t="s">
        <v>26</v>
      </c>
      <c r="GC16" s="122" t="s">
        <v>66</v>
      </c>
      <c r="GD16" s="122"/>
      <c r="GE16" s="122"/>
      <c r="GF16" s="122"/>
      <c r="GG16" s="122"/>
      <c r="GH16" s="122"/>
      <c r="GI16" s="122"/>
      <c r="GJ16" s="122"/>
      <c r="GK16" s="122"/>
      <c r="GL16" s="122"/>
      <c r="GM16" s="121" t="s">
        <v>62</v>
      </c>
      <c r="GN16" s="121" t="s">
        <v>58</v>
      </c>
      <c r="GO16" s="121" t="s">
        <v>54</v>
      </c>
      <c r="GP16" s="121" t="s">
        <v>71</v>
      </c>
      <c r="GQ16" s="121" t="s">
        <v>34</v>
      </c>
      <c r="GR16" s="121" t="s">
        <v>34</v>
      </c>
      <c r="GS16" s="121" t="s">
        <v>26</v>
      </c>
      <c r="GT16" s="121" t="s">
        <v>54</v>
      </c>
      <c r="GU16" s="121" t="s">
        <v>42</v>
      </c>
      <c r="GV16" s="121" t="s">
        <v>34</v>
      </c>
      <c r="GW16" s="121" t="s">
        <v>134</v>
      </c>
      <c r="GX16" s="121" t="s">
        <v>89</v>
      </c>
      <c r="GY16" s="121" t="s">
        <v>76</v>
      </c>
      <c r="GZ16" s="121" t="s">
        <v>26</v>
      </c>
      <c r="HA16" s="121" t="s">
        <v>66</v>
      </c>
      <c r="HB16" s="121"/>
      <c r="HC16" s="121"/>
      <c r="HD16" s="121"/>
      <c r="HE16" s="121"/>
      <c r="HF16" s="121"/>
      <c r="HG16" s="121"/>
      <c r="HH16" s="121"/>
      <c r="HI16" s="121"/>
      <c r="HJ16" s="121"/>
      <c r="HK16" s="122" t="s">
        <v>54</v>
      </c>
      <c r="HL16" s="122" t="s">
        <v>26</v>
      </c>
      <c r="HM16" s="122" t="s">
        <v>89</v>
      </c>
      <c r="HN16" s="122" t="s">
        <v>71</v>
      </c>
      <c r="HO16" s="122" t="s">
        <v>26</v>
      </c>
      <c r="HP16" s="122" t="s">
        <v>92</v>
      </c>
      <c r="HQ16" s="122" t="s">
        <v>34</v>
      </c>
      <c r="HR16" s="122" t="s">
        <v>76</v>
      </c>
      <c r="HS16" s="122" t="s">
        <v>34</v>
      </c>
      <c r="HT16" s="122" t="s">
        <v>62</v>
      </c>
      <c r="HU16" s="122" t="s">
        <v>134</v>
      </c>
      <c r="HV16" s="122" t="s">
        <v>34</v>
      </c>
      <c r="HW16" s="122" t="s">
        <v>71</v>
      </c>
      <c r="HX16" s="122" t="s">
        <v>34</v>
      </c>
      <c r="HY16" s="122" t="s">
        <v>26</v>
      </c>
      <c r="HZ16" s="122"/>
      <c r="IA16" s="122"/>
      <c r="IB16" s="122"/>
      <c r="IC16" s="122"/>
      <c r="ID16" s="122"/>
      <c r="IE16" s="122"/>
      <c r="IF16" s="122"/>
      <c r="IG16" s="122"/>
      <c r="IH16" s="122"/>
      <c r="II16" s="121" t="s">
        <v>34</v>
      </c>
      <c r="IJ16" s="121" t="s">
        <v>42</v>
      </c>
      <c r="IK16" s="121" t="s">
        <v>42</v>
      </c>
      <c r="IL16" s="121" t="s">
        <v>54</v>
      </c>
      <c r="IM16" s="121" t="s">
        <v>62</v>
      </c>
      <c r="IN16" s="121" t="s">
        <v>62</v>
      </c>
      <c r="IO16" s="121" t="s">
        <v>54</v>
      </c>
      <c r="IP16" s="121" t="s">
        <v>58</v>
      </c>
      <c r="IQ16" s="121" t="s">
        <v>42</v>
      </c>
      <c r="IR16" s="121" t="s">
        <v>42</v>
      </c>
      <c r="IS16" s="121" t="s">
        <v>134</v>
      </c>
      <c r="IT16" s="121" t="s">
        <v>71</v>
      </c>
      <c r="IU16" s="121" t="s">
        <v>66</v>
      </c>
      <c r="IV16" s="121" t="s">
        <v>26</v>
      </c>
      <c r="IW16" s="121" t="s">
        <v>26</v>
      </c>
      <c r="IX16" s="121"/>
      <c r="IY16" s="121" t="s">
        <v>136</v>
      </c>
      <c r="IZ16" s="121"/>
      <c r="JA16" s="121" t="s">
        <v>138</v>
      </c>
      <c r="JB16" s="121"/>
      <c r="JC16" s="121"/>
      <c r="JD16" s="121"/>
      <c r="JE16" s="121"/>
      <c r="JF16" s="121"/>
      <c r="JG16" s="122" t="s">
        <v>42</v>
      </c>
      <c r="JH16" s="122" t="s">
        <v>76</v>
      </c>
      <c r="JI16" s="122" t="s">
        <v>54</v>
      </c>
      <c r="JJ16" s="122" t="s">
        <v>42</v>
      </c>
      <c r="JK16" s="122" t="s">
        <v>34</v>
      </c>
      <c r="JL16" s="122" t="s">
        <v>34</v>
      </c>
      <c r="JM16" s="122" t="s">
        <v>54</v>
      </c>
      <c r="JN16" s="122" t="s">
        <v>89</v>
      </c>
      <c r="JO16" s="122" t="s">
        <v>62</v>
      </c>
      <c r="JP16" s="122" t="s">
        <v>76</v>
      </c>
      <c r="JQ16" s="122" t="s">
        <v>134</v>
      </c>
      <c r="JR16" s="122" t="s">
        <v>66</v>
      </c>
      <c r="JS16" s="122" t="s">
        <v>89</v>
      </c>
      <c r="JT16" s="122" t="s">
        <v>26</v>
      </c>
      <c r="JU16" s="122" t="s">
        <v>26</v>
      </c>
      <c r="JV16" s="122" t="s">
        <v>136</v>
      </c>
      <c r="JW16" s="122"/>
      <c r="JX16" s="122" t="s">
        <v>138</v>
      </c>
      <c r="JY16" s="122"/>
      <c r="JZ16" s="122"/>
      <c r="KA16" s="122"/>
      <c r="KB16" s="122"/>
      <c r="KC16" s="122"/>
      <c r="KD16" s="122"/>
    </row>
    <row r="17" spans="1:290" s="117" customFormat="1" ht="18" customHeight="1" x14ac:dyDescent="0.4">
      <c r="A17" s="145"/>
      <c r="B17" s="143"/>
      <c r="C17" s="125" t="str">
        <f>IFERROR(VLOOKUP(C16,教师安排!$A:$Y,C$2+1,FALSE),"")</f>
        <v>刘珊珊</v>
      </c>
      <c r="D17" s="125" t="str">
        <f>IFERROR(VLOOKUP(D16,教师安排!$A:$Y,D$2+1,FALSE),"")</f>
        <v>史振塞</v>
      </c>
      <c r="E17" s="125" t="str">
        <f>IFERROR(VLOOKUP(E16,教师安排!$A:$Y,E$2+1,FALSE),"")</f>
        <v>张雯皓</v>
      </c>
      <c r="F17" s="125" t="str">
        <f>IFERROR(VLOOKUP(F16,教师安排!$A:$Y,F$2+1,FALSE),"")</f>
        <v>侯淑贤</v>
      </c>
      <c r="G17" s="125" t="str">
        <f>IFERROR(VLOOKUP(G16,教师安排!$A:$Y,G$2+1,FALSE),"")</f>
        <v>孙存义</v>
      </c>
      <c r="H17" s="125" t="str">
        <f>IFERROR(VLOOKUP(H16,教师安排!$A:$Y,H$2+1,FALSE),"")</f>
        <v>王露</v>
      </c>
      <c r="I17" s="125" t="str">
        <f>IFERROR(VLOOKUP(I16,教师安排!$A:$Y,I$2+1,FALSE),"")</f>
        <v>孙锦锦</v>
      </c>
      <c r="J17" s="125" t="str">
        <f>IFERROR(VLOOKUP(J16,教师安排!$A:$Y,J$2+1,FALSE),"")</f>
        <v>康波</v>
      </c>
      <c r="K17" s="125" t="str">
        <f>IFERROR(VLOOKUP(K16,教师安排!$A:$Y,K$2+1,FALSE),"")</f>
        <v>张冰雪</v>
      </c>
      <c r="L17" s="125" t="str">
        <f>IFERROR(VLOOKUP(L16,教师安排!$A:$Y,L$2+1,FALSE),"")</f>
        <v>王菲</v>
      </c>
      <c r="M17" s="125">
        <f>IFERROR(VLOOKUP(M16,教师安排!$A:$Y,M$2+1,FALSE),"")</f>
        <v>0</v>
      </c>
      <c r="N17" s="125" t="str">
        <f>IFERROR(VLOOKUP(N16,教师安排!$A:$Y,N$2+1,FALSE),"")</f>
        <v>董艳华</v>
      </c>
      <c r="O17" s="125" t="str">
        <f>IFERROR(VLOOKUP(O16,教师安排!$A:$Y,O$2+1,FALSE),"")</f>
        <v>李浩然</v>
      </c>
      <c r="P17" s="125" t="str">
        <f>IFERROR(VLOOKUP(P16,教师安排!$A:$Y,P$2+1,FALSE),"")</f>
        <v>姜媛媛</v>
      </c>
      <c r="Q17" s="125" t="str">
        <f>IFERROR(VLOOKUP(Q16,教师安排!$A:$Y,Q$2+1,FALSE),"")</f>
        <v>夏文杰</v>
      </c>
      <c r="R17" s="125" t="str">
        <f>IFERROR(VLOOKUP(R16,教师安排!$A:$Y,R$2+1,FALSE),"")</f>
        <v/>
      </c>
      <c r="S17" s="125" t="str">
        <f>IFERROR(VLOOKUP(S16,教师安排!$A:$Y,S$2+1,FALSE),"")</f>
        <v/>
      </c>
      <c r="T17" s="125" t="str">
        <f>IFERROR(VLOOKUP(T16,教师安排!$A:$Y,T$2+1,FALSE),"")</f>
        <v/>
      </c>
      <c r="U17" s="125" t="str">
        <f>IFERROR(VLOOKUP(U16,教师安排!$A:$Y,U$2+1,FALSE),"")</f>
        <v/>
      </c>
      <c r="V17" s="125"/>
      <c r="W17" s="125" t="str">
        <f>IFERROR(VLOOKUP(W16,教师安排!$A:$Y,W$2+1,FALSE),"")</f>
        <v/>
      </c>
      <c r="X17" s="125" t="str">
        <f>IFERROR(VLOOKUP(X16,教师安排!$A:$Y,X$2+1,FALSE),"")</f>
        <v/>
      </c>
      <c r="Y17" s="125" t="str">
        <f>IFERROR(VLOOKUP(Y16,教师安排!$A:$Y,Y$2+1,FALSE),"")</f>
        <v/>
      </c>
      <c r="Z17" s="125" t="str">
        <f>IFERROR(VLOOKUP(Z16,教师安排!$A:$Y,Z$2+1,FALSE),"")</f>
        <v/>
      </c>
      <c r="AA17" s="126" t="str">
        <f>IFERROR(VLOOKUP(AA16,教师安排!$A:$Y,AA$2+1,FALSE),"")</f>
        <v>岳/厉</v>
      </c>
      <c r="AB17" s="126" t="str">
        <f>IFERROR(VLOOKUP(AB16,教师安排!$A:$Y,AB$2+1,FALSE),"")</f>
        <v>张苏</v>
      </c>
      <c r="AC17" s="126" t="str">
        <f>IFERROR(VLOOKUP(AC16,教师安排!$A:$Y,AC$2+1,FALSE),"")</f>
        <v>李会玲</v>
      </c>
      <c r="AD17" s="126" t="str">
        <f>IFERROR(VLOOKUP(AD16,教师安排!$A:$Y,AD$2+1,FALSE),"")</f>
        <v>岳/厉</v>
      </c>
      <c r="AE17" s="126" t="str">
        <f>IFERROR(VLOOKUP(AE16,教师安排!$A:$Y,AE$2+1,FALSE),"")</f>
        <v>赵雪敏</v>
      </c>
      <c r="AF17" s="126" t="str">
        <f>IFERROR(VLOOKUP(AF16,教师安排!$A:$Y,AF$2+1,FALSE),"")</f>
        <v>王露</v>
      </c>
      <c r="AG17" s="126" t="str">
        <f>IFERROR(VLOOKUP(AG16,教师安排!$A:$Y,AG$2+1,FALSE),"")</f>
        <v>王雪莲</v>
      </c>
      <c r="AH17" s="126" t="str">
        <f>IFERROR(VLOOKUP(AH16,教师安排!$A:$Y,AH$2+1,FALSE),"")</f>
        <v>康波</v>
      </c>
      <c r="AI17" s="126" t="str">
        <f>IFERROR(VLOOKUP(AI16,教师安排!$A:$Y,AI$2+1,FALSE),"")</f>
        <v>王灼</v>
      </c>
      <c r="AJ17" s="126" t="str">
        <f>IFERROR(VLOOKUP(AJ16,教师安排!$A:$Y,AJ$2+1,FALSE),"")</f>
        <v>孙娜</v>
      </c>
      <c r="AK17" s="126">
        <f>IFERROR(VLOOKUP(AK16,教师安排!$A:$Y,AK$2+1,FALSE),"")</f>
        <v>0</v>
      </c>
      <c r="AL17" s="126" t="str">
        <f>IFERROR(VLOOKUP(AL16,教师安排!$A:$Y,AL$2+1,FALSE),"")</f>
        <v>张喆</v>
      </c>
      <c r="AM17" s="126" t="str">
        <f>IFERROR(VLOOKUP(AM16,教师安排!$A:$Y,AM$2+1,FALSE),"")</f>
        <v>王硕</v>
      </c>
      <c r="AN17" s="126" t="str">
        <f>IFERROR(VLOOKUP(AN16,教师安排!$A:$Y,AN$2+1,FALSE),"")</f>
        <v>姜媛媛</v>
      </c>
      <c r="AO17" s="126" t="str">
        <f>IFERROR(VLOOKUP(AO16,教师安排!$A:$Y,AO$2+1,FALSE),"")</f>
        <v>夏文杰</v>
      </c>
      <c r="AP17" s="126" t="str">
        <f>IFERROR(VLOOKUP(AP16,教师安排!$A:$Y,AP$2+1,FALSE),"")</f>
        <v>岳海霞</v>
      </c>
      <c r="AQ17" s="126" t="str">
        <f>IFERROR(VLOOKUP(AQ16,教师安排!$A:$Y,AQ$2+1,FALSE),"")</f>
        <v/>
      </c>
      <c r="AR17" s="126" t="str">
        <f>IFERROR(VLOOKUP(AR16,教师安排!$A:$Y,AR$2+1,FALSE),"")</f>
        <v>厉彦龙</v>
      </c>
      <c r="AS17" s="126" t="str">
        <f>IFERROR(VLOOKUP(AS16,教师安排!$A:$Y,AS$2+1,FALSE),"")</f>
        <v/>
      </c>
      <c r="AT17" s="126"/>
      <c r="AU17" s="126" t="str">
        <f>IFERROR(VLOOKUP(AU16,教师安排!$A:$Y,AU$2+1,FALSE),"")</f>
        <v/>
      </c>
      <c r="AV17" s="126" t="str">
        <f>IFERROR(VLOOKUP(AV16,教师安排!$A:$Y,AV$2+1,FALSE),"")</f>
        <v/>
      </c>
      <c r="AW17" s="126" t="str">
        <f>IFERROR(VLOOKUP(AW16,教师安排!$A:$Y,AW$2+1,FALSE),"")</f>
        <v/>
      </c>
      <c r="AX17" s="126" t="str">
        <f>IFERROR(VLOOKUP(AX16,教师安排!$A:$Y,AX$2+1,FALSE),"")</f>
        <v/>
      </c>
      <c r="AY17" s="125" t="str">
        <f>IFERROR(VLOOKUP(AY16,教师安排!$A:$Y,AY$2+1,FALSE),"")</f>
        <v>康波</v>
      </c>
      <c r="AZ17" s="125" t="str">
        <f>IFERROR(VLOOKUP(AZ16,教师安排!$A:$Y,AZ$2+1,FALSE),"")</f>
        <v>周兴玲</v>
      </c>
      <c r="BA17" s="125" t="str">
        <f>IFERROR(VLOOKUP(BA16,教师安排!$A:$Y,BA$2+1,FALSE),"")</f>
        <v>张喆</v>
      </c>
      <c r="BB17" s="125" t="str">
        <f>IFERROR(VLOOKUP(BB16,教师安排!$A:$Y,BB$2+1,FALSE),"")</f>
        <v>刘珊珊</v>
      </c>
      <c r="BC17" s="125" t="str">
        <f>IFERROR(VLOOKUP(BC16,教师安排!$A:$Y,BC$2+1,FALSE),"")</f>
        <v>张冰雪</v>
      </c>
      <c r="BD17" s="125" t="str">
        <f>IFERROR(VLOOKUP(BD16,教师安排!$A:$Y,BD$2+1,FALSE),"")</f>
        <v>孙显阳</v>
      </c>
      <c r="BE17" s="125" t="str">
        <f>IFERROR(VLOOKUP(BE16,教师安排!$A:$Y,BE$2+1,FALSE),"")</f>
        <v>范林林</v>
      </c>
      <c r="BF17" s="125" t="str">
        <f>IFERROR(VLOOKUP(BF16,教师安排!$A:$Y,BF$2+1,FALSE),"")</f>
        <v>孙秋杰</v>
      </c>
      <c r="BG17" s="125" t="str">
        <f>IFERROR(VLOOKUP(BG16,教师安排!$A:$Y,BG$2+1,FALSE),"")</f>
        <v>赵雪敏</v>
      </c>
      <c r="BH17" s="125" t="str">
        <f>IFERROR(VLOOKUP(BH16,教师安排!$A:$Y,BH$2+1,FALSE),"")</f>
        <v>蒋心言</v>
      </c>
      <c r="BI17" s="125">
        <f>IFERROR(VLOOKUP(BI16,教师安排!$A:$Y,BI$2+1,FALSE),"")</f>
        <v>0</v>
      </c>
      <c r="BJ17" s="125" t="str">
        <f>IFERROR(VLOOKUP(BJ16,教师安排!$A:$Y,BJ$2+1,FALSE),"")</f>
        <v>孙娜</v>
      </c>
      <c r="BK17" s="125" t="str">
        <f>IFERROR(VLOOKUP(BK16,教师安排!$A:$Y,BK$2+1,FALSE),"")</f>
        <v>李浩然</v>
      </c>
      <c r="BL17" s="125" t="str">
        <f>IFERROR(VLOOKUP(BL16,教师安排!$A:$Y,BL$2+1,FALSE),"")</f>
        <v>王露</v>
      </c>
      <c r="BM17" s="125" t="str">
        <f>IFERROR(VLOOKUP(BM16,教师安排!$A:$Y,BM$2+1,FALSE),"")</f>
        <v>张鑫</v>
      </c>
      <c r="BN17" s="125" t="str">
        <f>IFERROR(VLOOKUP(BN16,教师安排!$A:$Y,BN$2+1,FALSE),"")</f>
        <v/>
      </c>
      <c r="BO17" s="125" t="str">
        <f>IFERROR(VLOOKUP(BO16,教师安排!$A:$Y,BO$2+1,FALSE),"")</f>
        <v/>
      </c>
      <c r="BP17" s="125" t="str">
        <f>IFERROR(VLOOKUP(BP16,教师安排!$A:$Y,BP$2+1,FALSE),"")</f>
        <v/>
      </c>
      <c r="BQ17" s="125" t="str">
        <f>IFERROR(VLOOKUP(BQ16,教师安排!$A:$Y,BQ$2+1,FALSE),"")</f>
        <v/>
      </c>
      <c r="BR17" s="125"/>
      <c r="BS17" s="125" t="str">
        <f>IFERROR(VLOOKUP(BS16,教师安排!$A:$Y,BS$2+1,FALSE),"")</f>
        <v/>
      </c>
      <c r="BT17" s="125" t="str">
        <f>IFERROR(VLOOKUP(BT16,教师安排!$A:$Y,BT$2+1,FALSE),"")</f>
        <v/>
      </c>
      <c r="BU17" s="125" t="str">
        <f>IFERROR(VLOOKUP(BU16,教师安排!$A:$Y,BU$2+1,FALSE),"")</f>
        <v/>
      </c>
      <c r="BV17" s="125" t="str">
        <f>IFERROR(VLOOKUP(BV16,教师安排!$A:$Y,BV$2+1,FALSE),"")</f>
        <v/>
      </c>
      <c r="BW17" s="126" t="str">
        <f>IFERROR(VLOOKUP(BW16,教师安排!$A:$Y,BW$2+1,FALSE),"")</f>
        <v>侯淑贤</v>
      </c>
      <c r="BX17" s="126" t="str">
        <f>IFERROR(VLOOKUP(BX16,教师安排!$A:$Y,BX$2+1,FALSE),"")</f>
        <v>岳/厉</v>
      </c>
      <c r="BY17" s="126" t="str">
        <f>IFERROR(VLOOKUP(BY16,教师安排!$A:$Y,BY$2+1,FALSE),"")</f>
        <v>岳/厉</v>
      </c>
      <c r="BZ17" s="126" t="str">
        <f>IFERROR(VLOOKUP(BZ16,教师安排!$A:$Y,BZ$2+1,FALSE),"")</f>
        <v>康波</v>
      </c>
      <c r="CA17" s="126" t="str">
        <f>IFERROR(VLOOKUP(CA16,教师安排!$A:$Y,CA$2+1,FALSE),"")</f>
        <v>刘腾</v>
      </c>
      <c r="CB17" s="126" t="str">
        <f>IFERROR(VLOOKUP(CB16,教师安排!$A:$Y,CB$2+1,FALSE),"")</f>
        <v>蒋心言</v>
      </c>
      <c r="CC17" s="126" t="str">
        <f>IFERROR(VLOOKUP(CC16,教师安排!$A:$Y,CC$2+1,FALSE),"")</f>
        <v>孙存义</v>
      </c>
      <c r="CD17" s="126" t="str">
        <f>IFERROR(VLOOKUP(CD16,教师安排!$A:$Y,CD$2+1,FALSE),"")</f>
        <v>宋开元</v>
      </c>
      <c r="CE17" s="126" t="str">
        <f>IFERROR(VLOOKUP(CE16,教师安排!$A:$Y,CE$2+1,FALSE),"")</f>
        <v>王灼</v>
      </c>
      <c r="CF17" s="126" t="str">
        <f>IFERROR(VLOOKUP(CF16,教师安排!$A:$Y,CF$2+1,FALSE),"")</f>
        <v>胡存想</v>
      </c>
      <c r="CG17" s="126">
        <f>IFERROR(VLOOKUP(CG16,教师安排!$A:$Y,CG$2+1,FALSE),"")</f>
        <v>0</v>
      </c>
      <c r="CH17" s="126" t="str">
        <f>IFERROR(VLOOKUP(CH16,教师安排!$A:$Y,CH$2+1,FALSE),"")</f>
        <v>王雪莲</v>
      </c>
      <c r="CI17" s="126" t="str">
        <f>IFERROR(VLOOKUP(CI16,教师安排!$A:$Y,CI$2+1,FALSE),"")</f>
        <v>夏文杰</v>
      </c>
      <c r="CJ17" s="126" t="str">
        <f>IFERROR(VLOOKUP(CJ16,教师安排!$A:$Y,CJ$2+1,FALSE),"")</f>
        <v>姜媛媛</v>
      </c>
      <c r="CK17" s="126" t="str">
        <f>IFERROR(VLOOKUP(CK16,教师安排!$A:$Y,CK$2+1,FALSE),"")</f>
        <v>路睿</v>
      </c>
      <c r="CL17" s="126" t="str">
        <f>IFERROR(VLOOKUP(CL16,教师安排!$A:$Y,CL$2+1,FALSE),"")</f>
        <v/>
      </c>
      <c r="CM17" s="126" t="str">
        <f>IFERROR(VLOOKUP(CM16,教师安排!$A:$Y,CM$2+1,FALSE),"")</f>
        <v>岳海霞</v>
      </c>
      <c r="CN17" s="126" t="str">
        <f>IFERROR(VLOOKUP(CN16,教师安排!$A:$Y,CN$2+1,FALSE),"")</f>
        <v/>
      </c>
      <c r="CO17" s="126" t="str">
        <f>IFERROR(VLOOKUP(CO16,教师安排!$A:$Y,CO$2+1,FALSE),"")</f>
        <v>厉彦龙</v>
      </c>
      <c r="CP17" s="126" t="str">
        <f>IFERROR(VLOOKUP(CP16,教师安排!$A:$Y,CP$2+1,FALSE),"")</f>
        <v/>
      </c>
      <c r="CQ17" s="126"/>
      <c r="CR17" s="126" t="str">
        <f>IFERROR(VLOOKUP(CR16,教师安排!$A:$Y,CR$2+1,FALSE),"")</f>
        <v/>
      </c>
      <c r="CS17" s="126" t="str">
        <f>IFERROR(VLOOKUP(CS16,教师安排!$A:$Y,CS$2+1,FALSE),"")</f>
        <v/>
      </c>
      <c r="CT17" s="126" t="str">
        <f>IFERROR(VLOOKUP(CT16,教师安排!$A:$Y,CT$2+1,FALSE),"")</f>
        <v/>
      </c>
      <c r="CU17" s="125" t="str">
        <f>IFERROR(VLOOKUP(CU16,教师安排!$A:$Y,CU$2+1,FALSE),"")</f>
        <v>岳/厉</v>
      </c>
      <c r="CV17" s="125" t="str">
        <f>IFERROR(VLOOKUP(CV16,教师安排!$A:$Y,CV$2+1,FALSE),"")</f>
        <v>李会玲</v>
      </c>
      <c r="CW17" s="125" t="str">
        <f>IFERROR(VLOOKUP(CW16,教师安排!$A:$Y,CW$2+1,FALSE),"")</f>
        <v>周兴玲</v>
      </c>
      <c r="CX17" s="125" t="str">
        <f>IFERROR(VLOOKUP(CX16,教师安排!$A:$Y,CX$2+1,FALSE),"")</f>
        <v>岳/厉</v>
      </c>
      <c r="CY17" s="125" t="str">
        <f>IFERROR(VLOOKUP(CY16,教师安排!$A:$Y,CY$2+1,FALSE),"")</f>
        <v>赵雪敏</v>
      </c>
      <c r="CZ17" s="125" t="str">
        <f>IFERROR(VLOOKUP(CZ16,教师安排!$A:$Y,CZ$2+1,FALSE),"")</f>
        <v>王露</v>
      </c>
      <c r="DA17" s="125" t="str">
        <f>IFERROR(VLOOKUP(DA16,教师安排!$A:$Y,DA$2+1,FALSE),"")</f>
        <v>孙存义</v>
      </c>
      <c r="DB17" s="125" t="str">
        <f>IFERROR(VLOOKUP(DB16,教师安排!$A:$Y,DB$2+1,FALSE),"")</f>
        <v>张喆</v>
      </c>
      <c r="DC17" s="125" t="str">
        <f>IFERROR(VLOOKUP(DC16,教师安排!$A:$Y,DC$2+1,FALSE),"")</f>
        <v>刘腾</v>
      </c>
      <c r="DD17" s="125" t="str">
        <f>IFERROR(VLOOKUP(DD16,教师安排!$A:$Y,DD$2+1,FALSE),"")</f>
        <v>孙秋杰</v>
      </c>
      <c r="DE17" s="125">
        <f>IFERROR(VLOOKUP(DE16,教师安排!$A:$Y,DE$2+1,FALSE),"")</f>
        <v>0</v>
      </c>
      <c r="DF17" s="125" t="str">
        <f>IFERROR(VLOOKUP(DF16,教师安排!$A:$Y,DF$2+1,FALSE),"")</f>
        <v>董艳华</v>
      </c>
      <c r="DG17" s="125" t="str">
        <f>IFERROR(VLOOKUP(DG16,教师安排!$A:$Y,DG$2+1,FALSE),"")</f>
        <v>孙显阳</v>
      </c>
      <c r="DH17" s="125" t="str">
        <f>IFERROR(VLOOKUP(DH16,教师安排!$A:$Y,DH$2+1,FALSE),"")</f>
        <v>姜媛媛</v>
      </c>
      <c r="DI17" s="125" t="str">
        <f>IFERROR(VLOOKUP(DI16,教师安排!$A:$Y,DI$2+1,FALSE),"")</f>
        <v>路睿</v>
      </c>
      <c r="DJ17" s="125" t="str">
        <f>IFERROR(VLOOKUP(DJ16,教师安排!$A:$Y,DJ$2+1,FALSE),"")</f>
        <v>岳海霞</v>
      </c>
      <c r="DK17" s="125" t="str">
        <f>IFERROR(VLOOKUP(DK16,教师安排!$A:$Y,DK$2+1,FALSE),"")</f>
        <v/>
      </c>
      <c r="DL17" s="125" t="str">
        <f>IFERROR(VLOOKUP(DL16,教师安排!$A:$Y,DL$2+1,FALSE),"")</f>
        <v>厉彦龙</v>
      </c>
      <c r="DM17" s="125" t="str">
        <f>IFERROR(VLOOKUP(DM16,教师安排!$A:$Y,DM$2+1,FALSE),"")</f>
        <v/>
      </c>
      <c r="DN17" s="125"/>
      <c r="DO17" s="125" t="str">
        <f>IFERROR(VLOOKUP(DO16,教师安排!$A:$Y,DO$2+1,FALSE),"")</f>
        <v/>
      </c>
      <c r="DP17" s="125" t="str">
        <f>IFERROR(VLOOKUP(DP16,教师安排!$A:$Y,DP$2+1,FALSE),"")</f>
        <v/>
      </c>
      <c r="DQ17" s="125" t="str">
        <f>IFERROR(VLOOKUP(DQ16,教师安排!$A:$Y,DQ$2+1,FALSE),"")</f>
        <v/>
      </c>
      <c r="DR17" s="125" t="str">
        <f>IFERROR(VLOOKUP(DR16,教师安排!$A:$Y,DR$2+1,FALSE),"")</f>
        <v/>
      </c>
      <c r="DS17" s="124" t="str">
        <f>IFERROR(VLOOKUP(DS16,教师安排!$A:$Y,DS$2+1,FALSE),"")</f>
        <v>李雯</v>
      </c>
      <c r="DT17" s="124" t="str">
        <f>IFERROR(VLOOKUP(DT16,教师安排!$A:$Y,DT$2+1,FALSE),"")</f>
        <v>宋开元</v>
      </c>
      <c r="DU17" s="124" t="str">
        <f>IFERROR(VLOOKUP(DU16,教师安排!$A:$Y,DU$2+1,FALSE),"")</f>
        <v>姚来朋</v>
      </c>
      <c r="DV17" s="124" t="str">
        <f>IFERROR(VLOOKUP(DV16,教师安排!$A:$Y,DV$2+1,FALSE),"")</f>
        <v>侯淑贤</v>
      </c>
      <c r="DW17" s="124" t="str">
        <f>IFERROR(VLOOKUP(DW16,教师安排!$A:$Y,DW$2+1,FALSE),"")</f>
        <v>李振铎</v>
      </c>
      <c r="DX17" s="124" t="str">
        <f>IFERROR(VLOOKUP(DX16,教师安排!$A:$Y,DX$2+1,FALSE),"")</f>
        <v>孙存义</v>
      </c>
      <c r="DY17" s="124" t="str">
        <f>IFERROR(VLOOKUP(DY16,教师安排!$A:$Y,DY$2+1,FALSE),"")</f>
        <v>王雪莲</v>
      </c>
      <c r="DZ17" s="124" t="str">
        <f>IFERROR(VLOOKUP(DZ16,教师安排!$A:$Y,DZ$2+1,FALSE),"")</f>
        <v>孙秋杰</v>
      </c>
      <c r="EA17" s="124" t="str">
        <f>IFERROR(VLOOKUP(EA16,教师安排!$A:$Y,EA$2+1,FALSE),"")</f>
        <v>田凤美</v>
      </c>
      <c r="EB17" s="124" t="str">
        <f>IFERROR(VLOOKUP(EB16,教师安排!$A:$Y,EB$2+1,FALSE),"")</f>
        <v>王菲</v>
      </c>
      <c r="EC17" s="124" t="str">
        <f>IFERROR(VLOOKUP(EC16,教师安排!$A:$Y,EC$2+1,FALSE),"")</f>
        <v>张雯皓</v>
      </c>
      <c r="ED17" s="124" t="str">
        <f>IFERROR(VLOOKUP(ED16,教师安排!$A:$Y,ED$2+1,FALSE),"")</f>
        <v>孙娜</v>
      </c>
      <c r="EE17" s="124" t="str">
        <f>IFERROR(VLOOKUP(EE16,教师安排!$A:$Y,EE$2+1,FALSE),"")</f>
        <v>范林林</v>
      </c>
      <c r="EF17" s="124" t="str">
        <f>IFERROR(VLOOKUP(EF16,教师安排!$A:$Y,EF$2+1,FALSE),"")</f>
        <v>王露</v>
      </c>
      <c r="EG17" s="124" t="str">
        <f>IFERROR(VLOOKUP(EG16,教师安排!$A:$Y,EG$2+1,FALSE),"")</f>
        <v>高文凤</v>
      </c>
      <c r="EH17" s="124" t="str">
        <f>IFERROR(VLOOKUP(EH16,教师安排!$A:$Y,EH$2+1,FALSE),"")</f>
        <v/>
      </c>
      <c r="EI17" s="124" t="str">
        <f>IFERROR(VLOOKUP(EI16,教师安排!$A:$Y,EI$2+1,FALSE),"")</f>
        <v/>
      </c>
      <c r="EJ17" s="124" t="str">
        <f>IFERROR(VLOOKUP(EJ16,教师安排!$A:$Y,EJ$2+1,FALSE),"")</f>
        <v/>
      </c>
      <c r="EK17" s="124" t="str">
        <f>IFERROR(VLOOKUP(EK16,教师安排!$A:$Y,EK$2+1,FALSE),"")</f>
        <v/>
      </c>
      <c r="EL17" s="124"/>
      <c r="EM17" s="124" t="str">
        <f>IFERROR(VLOOKUP(EM16,教师安排!$A:$Y,EM$2+1,FALSE),"")</f>
        <v/>
      </c>
      <c r="EN17" s="124" t="str">
        <f>IFERROR(VLOOKUP(EN16,教师安排!$A:$Y,EN$2+1,FALSE),"")</f>
        <v/>
      </c>
      <c r="EO17" s="124" t="str">
        <f>IFERROR(VLOOKUP(EO16,教师安排!$A:$Y,EO$2+1,FALSE),"")</f>
        <v/>
      </c>
      <c r="EP17" s="124" t="str">
        <f>IFERROR(VLOOKUP(EP16,教师安排!$A:$Y,EP$2+1,FALSE),"")</f>
        <v/>
      </c>
      <c r="EQ17" s="123" t="str">
        <f>IFERROR(VLOOKUP(EQ16,教师安排!$A:$Y,EQ$2+1,FALSE),"")</f>
        <v>岳/厉</v>
      </c>
      <c r="ER17" s="123" t="str">
        <f>IFERROR(VLOOKUP(ER16,教师安排!$A:$Y,ER$2+1,FALSE),"")</f>
        <v>史振塞</v>
      </c>
      <c r="ES17" s="123" t="str">
        <f>IFERROR(VLOOKUP(ES16,教师安排!$A:$Y,ES$2+1,FALSE),"")</f>
        <v>李会玲</v>
      </c>
      <c r="ET17" s="123" t="str">
        <f>IFERROR(VLOOKUP(ET16,教师安排!$A:$Y,ET$2+1,FALSE),"")</f>
        <v>岳/厉</v>
      </c>
      <c r="EU17" s="123" t="str">
        <f>IFERROR(VLOOKUP(EU16,教师安排!$A:$Y,EU$2+1,FALSE),"")</f>
        <v>王灼</v>
      </c>
      <c r="EV17" s="123" t="str">
        <f>IFERROR(VLOOKUP(EV16,教师安排!$A:$Y,EV$2+1,FALSE),"")</f>
        <v>蒋心言</v>
      </c>
      <c r="EW17" s="123" t="str">
        <f>IFERROR(VLOOKUP(EW16,教师安排!$A:$Y,EW$2+1,FALSE),"")</f>
        <v>范林林</v>
      </c>
      <c r="EX17" s="123" t="str">
        <f>IFERROR(VLOOKUP(EX16,教师安排!$A:$Y,EX$2+1,FALSE),"")</f>
        <v>康波</v>
      </c>
      <c r="EY17" s="123" t="str">
        <f>IFERROR(VLOOKUP(EY16,教师安排!$A:$Y,EY$2+1,FALSE),"")</f>
        <v>刘腾</v>
      </c>
      <c r="EZ17" s="123" t="str">
        <f>IFERROR(VLOOKUP(EZ16,教师安排!$A:$Y,EZ$2+1,FALSE),"")</f>
        <v>孙秋杰</v>
      </c>
      <c r="FA17" s="123" t="str">
        <f>IFERROR(VLOOKUP(FA16,教师安排!$A:$Y,FA$2+1,FALSE),"")</f>
        <v>孙锦锦</v>
      </c>
      <c r="FB17" s="123" t="str">
        <f>IFERROR(VLOOKUP(FB16,教师安排!$A:$Y,FB$2+1,FALSE),"")</f>
        <v>张鑫</v>
      </c>
      <c r="FC17" s="123" t="str">
        <f>IFERROR(VLOOKUP(FC16,教师安排!$A:$Y,FC$2+1,FALSE),"")</f>
        <v>李浩然</v>
      </c>
      <c r="FD17" s="123" t="str">
        <f>IFERROR(VLOOKUP(FD16,教师安排!$A:$Y,FD$2+1,FALSE),"")</f>
        <v>董艳华</v>
      </c>
      <c r="FE17" s="123" t="str">
        <f>IFERROR(VLOOKUP(FE16,教师安排!$A:$Y,FE$2+1,FALSE),"")</f>
        <v>夏文杰</v>
      </c>
      <c r="FF17" s="123" t="str">
        <f>IFERROR(VLOOKUP(FF16,教师安排!$A:$Y,FF$2+1,FALSE),"")</f>
        <v>岳海霞</v>
      </c>
      <c r="FG17" s="123" t="str">
        <f>IFERROR(VLOOKUP(FG16,教师安排!$A:$Y,FG$2+1,FALSE),"")</f>
        <v/>
      </c>
      <c r="FH17" s="123" t="str">
        <f>IFERROR(VLOOKUP(FH16,教师安排!$A:$Y,FH$2+1,FALSE),"")</f>
        <v>厉彦龙</v>
      </c>
      <c r="FI17" s="123" t="str">
        <f>IFERROR(VLOOKUP(FI16,教师安排!$A:$Y,FI$2+1,FALSE),"")</f>
        <v/>
      </c>
      <c r="FJ17" s="123"/>
      <c r="FK17" s="123" t="str">
        <f>IFERROR(VLOOKUP(FK16,教师安排!$A:$Y,FK$2+1,FALSE),"")</f>
        <v/>
      </c>
      <c r="FL17" s="123" t="str">
        <f>IFERROR(VLOOKUP(FL16,教师安排!$A:$Y,FL$2+1,FALSE),"")</f>
        <v/>
      </c>
      <c r="FM17" s="123" t="str">
        <f>IFERROR(VLOOKUP(FM16,教师安排!$A:$Y,FM$2+1,FALSE),"")</f>
        <v/>
      </c>
      <c r="FN17" s="123" t="str">
        <f>IFERROR(VLOOKUP(FN16,教师安排!$A:$Y,FN$2+1,FALSE),"")</f>
        <v/>
      </c>
      <c r="FO17" s="126" t="str">
        <f>IFERROR(VLOOKUP(FO16,教师安排!$A:$Y,FO$2+1,FALSE),"")</f>
        <v>李会玲</v>
      </c>
      <c r="FP17" s="126" t="str">
        <f>IFERROR(VLOOKUP(FP16,教师安排!$A:$Y,FP$2+1,FALSE),"")</f>
        <v>史振塞</v>
      </c>
      <c r="FQ17" s="126" t="str">
        <f>IFERROR(VLOOKUP(FQ16,教师安排!$A:$Y,FQ$2+1,FALSE),"")</f>
        <v>张雯皓</v>
      </c>
      <c r="FR17" s="126" t="str">
        <f>IFERROR(VLOOKUP(FR16,教师安排!$A:$Y,FR$2+1,FALSE),"")</f>
        <v>侯淑贤</v>
      </c>
      <c r="FS17" s="126" t="str">
        <f>IFERROR(VLOOKUP(FS16,教师安排!$A:$Y,FS$2+1,FALSE),"")</f>
        <v>孙存义</v>
      </c>
      <c r="FT17" s="126" t="str">
        <f>IFERROR(VLOOKUP(FT16,教师安排!$A:$Y,FT$2+1,FALSE),"")</f>
        <v>王露</v>
      </c>
      <c r="FU17" s="126" t="str">
        <f>IFERROR(VLOOKUP(FU16,教师安排!$A:$Y,FU$2+1,FALSE),"")</f>
        <v>孙锦锦</v>
      </c>
      <c r="FV17" s="126" t="str">
        <f>IFERROR(VLOOKUP(FV16,教师安排!$A:$Y,FV$2+1,FALSE),"")</f>
        <v>康波</v>
      </c>
      <c r="FW17" s="126" t="str">
        <f>IFERROR(VLOOKUP(FW16,教师安排!$A:$Y,FW$2+1,FALSE),"")</f>
        <v>张冰雪</v>
      </c>
      <c r="FX17" s="126" t="str">
        <f>IFERROR(VLOOKUP(FX16,教师安排!$A:$Y,FX$2+1,FALSE),"")</f>
        <v>王菲</v>
      </c>
      <c r="FY17" s="126">
        <f>IFERROR(VLOOKUP(FY16,教师安排!$A:$Y,FY$2+1,FALSE),"")</f>
        <v>0</v>
      </c>
      <c r="FZ17" s="126" t="str">
        <f>IFERROR(VLOOKUP(FZ16,教师安排!$A:$Y,FZ$2+1,FALSE),"")</f>
        <v>董艳华</v>
      </c>
      <c r="GA17" s="126" t="str">
        <f>IFERROR(VLOOKUP(GA16,教师安排!$A:$Y,GA$2+1,FALSE),"")</f>
        <v>李浩然</v>
      </c>
      <c r="GB17" s="126" t="str">
        <f>IFERROR(VLOOKUP(GB16,教师安排!$A:$Y,GB$2+1,FALSE),"")</f>
        <v>姜媛媛</v>
      </c>
      <c r="GC17" s="126" t="str">
        <f>IFERROR(VLOOKUP(GC16,教师安排!$A:$Y,GC$2+1,FALSE),"")</f>
        <v>夏文杰</v>
      </c>
      <c r="GD17" s="126" t="str">
        <f>IFERROR(VLOOKUP(GD16,教师安排!$A:$Y,GD$2+1,FALSE),"")</f>
        <v/>
      </c>
      <c r="GE17" s="126" t="str">
        <f>IFERROR(VLOOKUP(GE16,教师安排!$A:$Y,GE$2+1,FALSE),"")</f>
        <v/>
      </c>
      <c r="GF17" s="126" t="str">
        <f>IFERROR(VLOOKUP(GF16,教师安排!$A:$Y,GF$2+1,FALSE),"")</f>
        <v/>
      </c>
      <c r="GG17" s="126" t="str">
        <f>IFERROR(VLOOKUP(GG16,教师安排!$A:$Y,GG$2+1,FALSE),"")</f>
        <v/>
      </c>
      <c r="GH17" s="126"/>
      <c r="GI17" s="126" t="str">
        <f>IFERROR(VLOOKUP(GI16,教师安排!$A:$Y,GI$2+1,FALSE),"")</f>
        <v/>
      </c>
      <c r="GJ17" s="126" t="str">
        <f>IFERROR(VLOOKUP(GJ16,教师安排!$A:$Y,GJ$2+1,FALSE),"")</f>
        <v/>
      </c>
      <c r="GK17" s="126" t="str">
        <f>IFERROR(VLOOKUP(GK16,教师安排!$A:$Y,GK$2+1,FALSE),"")</f>
        <v/>
      </c>
      <c r="GL17" s="126" t="str">
        <f>IFERROR(VLOOKUP(GL16,教师安排!$A:$Y,GL$2+1,FALSE),"")</f>
        <v/>
      </c>
      <c r="GM17" s="125" t="str">
        <f>IFERROR(VLOOKUP(GM16,教师安排!$A:$Y,GM$2+1,FALSE),"")</f>
        <v>周兴玲</v>
      </c>
      <c r="GN17" s="125" t="str">
        <f>IFERROR(VLOOKUP(GN16,教师安排!$A:$Y,GN$2+1,FALSE),"")</f>
        <v>宋开元</v>
      </c>
      <c r="GO17" s="125" t="str">
        <f>IFERROR(VLOOKUP(GO16,教师安排!$A:$Y,GO$2+1,FALSE),"")</f>
        <v>张雨晴</v>
      </c>
      <c r="GP17" s="125" t="str">
        <f>IFERROR(VLOOKUP(GP16,教师安排!$A:$Y,GP$2+1,FALSE),"")</f>
        <v>刘珊珊</v>
      </c>
      <c r="GQ17" s="125" t="str">
        <f>IFERROR(VLOOKUP(GQ16,教师安排!$A:$Y,GQ$2+1,FALSE),"")</f>
        <v>赵雪敏</v>
      </c>
      <c r="GR17" s="125" t="str">
        <f>IFERROR(VLOOKUP(GR16,教师安排!$A:$Y,GR$2+1,FALSE),"")</f>
        <v>王露</v>
      </c>
      <c r="GS17" s="125" t="str">
        <f>IFERROR(VLOOKUP(GS16,教师安排!$A:$Y,GS$2+1,FALSE),"")</f>
        <v>王雪莲</v>
      </c>
      <c r="GT17" s="125" t="str">
        <f>IFERROR(VLOOKUP(GT16,教师安排!$A:$Y,GT$2+1,FALSE),"")</f>
        <v>康波</v>
      </c>
      <c r="GU17" s="125" t="str">
        <f>IFERROR(VLOOKUP(GU16,教师安排!$A:$Y,GU$2+1,FALSE),"")</f>
        <v>王灼</v>
      </c>
      <c r="GV17" s="125" t="str">
        <f>IFERROR(VLOOKUP(GV16,教师安排!$A:$Y,GV$2+1,FALSE),"")</f>
        <v>孙娜</v>
      </c>
      <c r="GW17" s="125">
        <f>IFERROR(VLOOKUP(GW16,教师安排!$A:$Y,GW$2+1,FALSE),"")</f>
        <v>0</v>
      </c>
      <c r="GX17" s="125" t="str">
        <f>IFERROR(VLOOKUP(GX16,教师安排!$A:$Y,GX$2+1,FALSE),"")</f>
        <v>张喆</v>
      </c>
      <c r="GY17" s="125" t="str">
        <f>IFERROR(VLOOKUP(GY16,教师安排!$A:$Y,GY$2+1,FALSE),"")</f>
        <v>王硕</v>
      </c>
      <c r="GZ17" s="125" t="str">
        <f>IFERROR(VLOOKUP(GZ16,教师安排!$A:$Y,GZ$2+1,FALSE),"")</f>
        <v>姜媛媛</v>
      </c>
      <c r="HA17" s="125" t="str">
        <f>IFERROR(VLOOKUP(HA16,教师安排!$A:$Y,HA$2+1,FALSE),"")</f>
        <v>夏文杰</v>
      </c>
      <c r="HB17" s="125" t="str">
        <f>IFERROR(VLOOKUP(HB16,教师安排!$A:$Y,HB$2+1,FALSE),"")</f>
        <v/>
      </c>
      <c r="HC17" s="125" t="str">
        <f>IFERROR(VLOOKUP(HC16,教师安排!$A:$Y,HC$2+1,FALSE),"")</f>
        <v/>
      </c>
      <c r="HD17" s="125" t="str">
        <f>IFERROR(VLOOKUP(HD16,教师安排!$A:$Y,HD$2+1,FALSE),"")</f>
        <v/>
      </c>
      <c r="HE17" s="125" t="str">
        <f>IFERROR(VLOOKUP(HE16,教师安排!$A:$Y,HE$2+1,FALSE),"")</f>
        <v/>
      </c>
      <c r="HF17" s="125"/>
      <c r="HG17" s="125" t="str">
        <f>IFERROR(VLOOKUP(HG16,教师安排!$A:$Y,HG$2+1,FALSE),"")</f>
        <v/>
      </c>
      <c r="HH17" s="125" t="str">
        <f>IFERROR(VLOOKUP(HH16,教师安排!$A:$Y,HH$2+1,FALSE),"")</f>
        <v/>
      </c>
      <c r="HI17" s="125" t="str">
        <f>IFERROR(VLOOKUP(HI16,教师安排!$A:$Y,HI$2+1,FALSE),"")</f>
        <v/>
      </c>
      <c r="HJ17" s="125" t="str">
        <f>IFERROR(VLOOKUP(HJ16,教师安排!$A:$Y,HJ$2+1,FALSE),"")</f>
        <v/>
      </c>
      <c r="HK17" s="126" t="str">
        <f>IFERROR(VLOOKUP(HK16,教师安排!$A:$Y,HK$2+1,FALSE),"")</f>
        <v>康波</v>
      </c>
      <c r="HL17" s="126" t="str">
        <f>IFERROR(VLOOKUP(HL16,教师安排!$A:$Y,HL$2+1,FALSE),"")</f>
        <v>史振塞</v>
      </c>
      <c r="HM17" s="126" t="str">
        <f>IFERROR(VLOOKUP(HM16,教师安排!$A:$Y,HM$2+1,FALSE),"")</f>
        <v>张喆</v>
      </c>
      <c r="HN17" s="126" t="str">
        <f>IFERROR(VLOOKUP(HN16,教师安排!$A:$Y,HN$2+1,FALSE),"")</f>
        <v>刘珊珊</v>
      </c>
      <c r="HO17" s="126" t="str">
        <f>IFERROR(VLOOKUP(HO16,教师安排!$A:$Y,HO$2+1,FALSE),"")</f>
        <v>张冰雪</v>
      </c>
      <c r="HP17" s="126" t="str">
        <f>IFERROR(VLOOKUP(HP16,教师安排!$A:$Y,HP$2+1,FALSE),"")</f>
        <v>孙显阳</v>
      </c>
      <c r="HQ17" s="126" t="str">
        <f>IFERROR(VLOOKUP(HQ16,教师安排!$A:$Y,HQ$2+1,FALSE),"")</f>
        <v>范林林</v>
      </c>
      <c r="HR17" s="126" t="str">
        <f>IFERROR(VLOOKUP(HR16,教师安排!$A:$Y,HR$2+1,FALSE),"")</f>
        <v>孙秋杰</v>
      </c>
      <c r="HS17" s="126" t="str">
        <f>IFERROR(VLOOKUP(HS16,教师安排!$A:$Y,HS$2+1,FALSE),"")</f>
        <v>赵雪敏</v>
      </c>
      <c r="HT17" s="126" t="str">
        <f>IFERROR(VLOOKUP(HT16,教师安排!$A:$Y,HT$2+1,FALSE),"")</f>
        <v>蒋心言</v>
      </c>
      <c r="HU17" s="126">
        <f>IFERROR(VLOOKUP(HU16,教师安排!$A:$Y,HU$2+1,FALSE),"")</f>
        <v>0</v>
      </c>
      <c r="HV17" s="126" t="str">
        <f>IFERROR(VLOOKUP(HV16,教师安排!$A:$Y,HV$2+1,FALSE),"")</f>
        <v>孙娜</v>
      </c>
      <c r="HW17" s="126" t="str">
        <f>IFERROR(VLOOKUP(HW16,教师安排!$A:$Y,HW$2+1,FALSE),"")</f>
        <v>李浩然</v>
      </c>
      <c r="HX17" s="126" t="str">
        <f>IFERROR(VLOOKUP(HX16,教师安排!$A:$Y,HX$2+1,FALSE),"")</f>
        <v>王露</v>
      </c>
      <c r="HY17" s="126" t="str">
        <f>IFERROR(VLOOKUP(HY16,教师安排!$A:$Y,HY$2+1,FALSE),"")</f>
        <v>路睿</v>
      </c>
      <c r="HZ17" s="126" t="str">
        <f>IFERROR(VLOOKUP(HZ16,教师安排!$A:$Y,HZ$2+1,FALSE),"")</f>
        <v/>
      </c>
      <c r="IA17" s="126" t="str">
        <f>IFERROR(VLOOKUP(IA16,教师安排!$A:$Y,IA$2+1,FALSE),"")</f>
        <v/>
      </c>
      <c r="IB17" s="126" t="str">
        <f>IFERROR(VLOOKUP(IB16,教师安排!$A:$Y,IB$2+1,FALSE),"")</f>
        <v/>
      </c>
      <c r="IC17" s="126" t="str">
        <f>IFERROR(VLOOKUP(IC16,教师安排!$A:$Y,IC$2+1,FALSE),"")</f>
        <v/>
      </c>
      <c r="ID17" s="126"/>
      <c r="IE17" s="126" t="str">
        <f>IFERROR(VLOOKUP(IE16,教师安排!$A:$Y,IE$2+1,FALSE),"")</f>
        <v/>
      </c>
      <c r="IF17" s="126" t="str">
        <f>IFERROR(VLOOKUP(IF16,教师安排!$A:$Y,IF$2+1,FALSE),"")</f>
        <v/>
      </c>
      <c r="IG17" s="126" t="str">
        <f>IFERROR(VLOOKUP(IG16,教师安排!$A:$Y,IG$2+1,FALSE),"")</f>
        <v/>
      </c>
      <c r="IH17" s="126" t="str">
        <f>IFERROR(VLOOKUP(IH16,教师安排!$A:$Y,IH$2+1,FALSE),"")</f>
        <v/>
      </c>
      <c r="II17" s="125" t="str">
        <f>IFERROR(VLOOKUP(II16,教师安排!$A:$Y,II$2+1,FALSE),"")</f>
        <v>侯淑贤</v>
      </c>
      <c r="IJ17" s="125" t="str">
        <f>IFERROR(VLOOKUP(IJ16,教师安排!$A:$Y,IJ$2+1,FALSE),"")</f>
        <v>岳/厉</v>
      </c>
      <c r="IK17" s="125" t="str">
        <f>IFERROR(VLOOKUP(IK16,教师安排!$A:$Y,IK$2+1,FALSE),"")</f>
        <v>岳/厉</v>
      </c>
      <c r="IL17" s="125" t="str">
        <f>IFERROR(VLOOKUP(IL16,教师安排!$A:$Y,IL$2+1,FALSE),"")</f>
        <v>康波</v>
      </c>
      <c r="IM17" s="125" t="str">
        <f>IFERROR(VLOOKUP(IM16,教师安排!$A:$Y,IM$2+1,FALSE),"")</f>
        <v>刘腾</v>
      </c>
      <c r="IN17" s="125" t="str">
        <f>IFERROR(VLOOKUP(IN16,教师安排!$A:$Y,IN$2+1,FALSE),"")</f>
        <v>蒋心言</v>
      </c>
      <c r="IO17" s="125" t="str">
        <f>IFERROR(VLOOKUP(IO16,教师安排!$A:$Y,IO$2+1,FALSE),"")</f>
        <v>孙存义</v>
      </c>
      <c r="IP17" s="125" t="str">
        <f>IFERROR(VLOOKUP(IP16,教师安排!$A:$Y,IP$2+1,FALSE),"")</f>
        <v>宋开元</v>
      </c>
      <c r="IQ17" s="125" t="str">
        <f>IFERROR(VLOOKUP(IQ16,教师安排!$A:$Y,IQ$2+1,FALSE),"")</f>
        <v>王灼</v>
      </c>
      <c r="IR17" s="125" t="str">
        <f>IFERROR(VLOOKUP(IR16,教师安排!$A:$Y,IR$2+1,FALSE),"")</f>
        <v>胡存想</v>
      </c>
      <c r="IS17" s="125">
        <f>IFERROR(VLOOKUP(IS16,教师安排!$A:$Y,IS$2+1,FALSE),"")</f>
        <v>0</v>
      </c>
      <c r="IT17" s="125" t="str">
        <f>IFERROR(VLOOKUP(IT16,教师安排!$A:$Y,IT$2+1,FALSE),"")</f>
        <v>张鑫</v>
      </c>
      <c r="IU17" s="125" t="str">
        <f>IFERROR(VLOOKUP(IU16,教师安排!$A:$Y,IU$2+1,FALSE),"")</f>
        <v>夏文杰</v>
      </c>
      <c r="IV17" s="125" t="str">
        <f>IFERROR(VLOOKUP(IV16,教师安排!$A:$Y,IV$2+1,FALSE),"")</f>
        <v>姜媛媛</v>
      </c>
      <c r="IW17" s="125" t="str">
        <f>IFERROR(VLOOKUP(IW16,教师安排!$A:$Y,IW$2+1,FALSE),"")</f>
        <v>路睿</v>
      </c>
      <c r="IX17" s="125" t="str">
        <f>IFERROR(VLOOKUP(IX16,教师安排!$A:$Y,IX$2+1,FALSE),"")</f>
        <v/>
      </c>
      <c r="IY17" s="125" t="str">
        <f>IFERROR(VLOOKUP(IY16,教师安排!$A:$Y,IY$2+1,FALSE),"")</f>
        <v>岳海霞</v>
      </c>
      <c r="IZ17" s="125" t="str">
        <f>IFERROR(VLOOKUP(IZ16,教师安排!$A:$Y,IZ$2+1,FALSE),"")</f>
        <v/>
      </c>
      <c r="JA17" s="125" t="str">
        <f>IFERROR(VLOOKUP(JA16,教师安排!$A:$Y,JA$2+1,FALSE),"")</f>
        <v>厉彦龙</v>
      </c>
      <c r="JB17" s="125"/>
      <c r="JC17" s="125" t="str">
        <f>IFERROR(VLOOKUP(JC16,教师安排!$A:$Y,JC$2+1,FALSE),"")</f>
        <v/>
      </c>
      <c r="JD17" s="125" t="str">
        <f>IFERROR(VLOOKUP(JD16,教师安排!$A:$Y,JD$2+1,FALSE),"")</f>
        <v/>
      </c>
      <c r="JE17" s="125" t="str">
        <f>IFERROR(VLOOKUP(JE16,教师安排!$A:$Y,JE$2+1,FALSE),"")</f>
        <v/>
      </c>
      <c r="JF17" s="125" t="str">
        <f>IFERROR(VLOOKUP(JF16,教师安排!$A:$Y,JF$2+1,FALSE),"")</f>
        <v/>
      </c>
      <c r="JG17" s="126" t="str">
        <f>IFERROR(VLOOKUP(JG16,教师安排!$A:$Y,JG$2+1,FALSE),"")</f>
        <v>岳/厉</v>
      </c>
      <c r="JH17" s="126" t="str">
        <f>IFERROR(VLOOKUP(JH16,教师安排!$A:$Y,JH$2+1,FALSE),"")</f>
        <v>李会玲</v>
      </c>
      <c r="JI17" s="126" t="str">
        <f>IFERROR(VLOOKUP(JI16,教师安排!$A:$Y,JI$2+1,FALSE),"")</f>
        <v>张雨晴</v>
      </c>
      <c r="JJ17" s="126" t="str">
        <f>IFERROR(VLOOKUP(JJ16,教师安排!$A:$Y,JJ$2+1,FALSE),"")</f>
        <v>岳/厉</v>
      </c>
      <c r="JK17" s="126" t="str">
        <f>IFERROR(VLOOKUP(JK16,教师安排!$A:$Y,JK$2+1,FALSE),"")</f>
        <v>赵雪敏</v>
      </c>
      <c r="JL17" s="126" t="str">
        <f>IFERROR(VLOOKUP(JL16,教师安排!$A:$Y,JL$2+1,FALSE),"")</f>
        <v>王露</v>
      </c>
      <c r="JM17" s="126" t="str">
        <f>IFERROR(VLOOKUP(JM16,教师安排!$A:$Y,JM$2+1,FALSE),"")</f>
        <v>孙存义</v>
      </c>
      <c r="JN17" s="126" t="str">
        <f>IFERROR(VLOOKUP(JN16,教师安排!$A:$Y,JN$2+1,FALSE),"")</f>
        <v>张喆</v>
      </c>
      <c r="JO17" s="126" t="str">
        <f>IFERROR(VLOOKUP(JO16,教师安排!$A:$Y,JO$2+1,FALSE),"")</f>
        <v>刘腾</v>
      </c>
      <c r="JP17" s="126" t="str">
        <f>IFERROR(VLOOKUP(JP16,教师安排!$A:$Y,JP$2+1,FALSE),"")</f>
        <v>孙秋杰</v>
      </c>
      <c r="JQ17" s="126">
        <f>IFERROR(VLOOKUP(JQ16,教师安排!$A:$Y,JQ$2+1,FALSE),"")</f>
        <v>0</v>
      </c>
      <c r="JR17" s="126" t="str">
        <f>IFERROR(VLOOKUP(JR16,教师安排!$A:$Y,JR$2+1,FALSE),"")</f>
        <v>董艳华</v>
      </c>
      <c r="JS17" s="126" t="str">
        <f>IFERROR(VLOOKUP(JS16,教师安排!$A:$Y,JS$2+1,FALSE),"")</f>
        <v>孙显阳</v>
      </c>
      <c r="JT17" s="126" t="str">
        <f>IFERROR(VLOOKUP(JT16,教师安排!$A:$Y,JT$2+1,FALSE),"")</f>
        <v>姜媛媛</v>
      </c>
      <c r="JU17" s="126" t="str">
        <f>IFERROR(VLOOKUP(JU16,教师安排!$A:$Y,JU$2+1,FALSE),"")</f>
        <v>路睿</v>
      </c>
      <c r="JV17" s="126" t="str">
        <f>IFERROR(VLOOKUP(JV16,教师安排!$A:$Y,JV$2+1,FALSE),"")</f>
        <v>岳海霞</v>
      </c>
      <c r="JW17" s="126" t="str">
        <f>IFERROR(VLOOKUP(JW16,教师安排!$A:$Y,JW$2+1,FALSE),"")</f>
        <v/>
      </c>
      <c r="JX17" s="126" t="str">
        <f>IFERROR(VLOOKUP(JX16,教师安排!$A:$Y,JX$2+1,FALSE),"")</f>
        <v>厉彦龙</v>
      </c>
      <c r="JY17" s="126" t="str">
        <f>IFERROR(VLOOKUP(JY16,教师安排!$A:$Y,JY$2+1,FALSE),"")</f>
        <v/>
      </c>
      <c r="JZ17" s="126"/>
      <c r="KA17" s="126" t="str">
        <f>IFERROR(VLOOKUP(KA16,教师安排!$A:$Y,KA$2+1,FALSE),"")</f>
        <v/>
      </c>
      <c r="KB17" s="126" t="str">
        <f>IFERROR(VLOOKUP(KB16,教师安排!$A:$Y,KB$2+1,FALSE),"")</f>
        <v/>
      </c>
      <c r="KC17" s="126" t="str">
        <f>IFERROR(VLOOKUP(KC16,教师安排!$A:$Y,KC$2+1,FALSE),"")</f>
        <v/>
      </c>
      <c r="KD17" s="126" t="str">
        <f>IFERROR(VLOOKUP(KD16,教师安排!$A:$Y,KD$2+1,FALSE),"")</f>
        <v/>
      </c>
    </row>
    <row r="18" spans="1:290" s="116" customFormat="1" ht="18" customHeight="1" x14ac:dyDescent="0.4">
      <c r="A18" s="145"/>
      <c r="B18" s="143">
        <v>5</v>
      </c>
      <c r="C18" s="121" t="s">
        <v>93</v>
      </c>
      <c r="D18" s="121" t="s">
        <v>93</v>
      </c>
      <c r="E18" s="121" t="s">
        <v>93</v>
      </c>
      <c r="F18" s="121" t="s">
        <v>66</v>
      </c>
      <c r="G18" s="121" t="s">
        <v>93</v>
      </c>
      <c r="H18" s="121" t="s">
        <v>93</v>
      </c>
      <c r="I18" s="121" t="s">
        <v>93</v>
      </c>
      <c r="J18" s="121" t="s">
        <v>93</v>
      </c>
      <c r="K18" s="121" t="s">
        <v>93</v>
      </c>
      <c r="L18" s="121" t="s">
        <v>93</v>
      </c>
      <c r="M18" s="121" t="s">
        <v>134</v>
      </c>
      <c r="N18" s="121" t="s">
        <v>93</v>
      </c>
      <c r="O18" s="121" t="s">
        <v>93</v>
      </c>
      <c r="P18" s="121" t="s">
        <v>93</v>
      </c>
      <c r="Q18" s="121" t="s">
        <v>93</v>
      </c>
      <c r="R18" s="121"/>
      <c r="S18" s="121"/>
      <c r="T18" s="121"/>
      <c r="U18" s="121"/>
      <c r="V18" s="121"/>
      <c r="W18" s="121"/>
      <c r="X18" s="121"/>
      <c r="Y18" s="121"/>
      <c r="Z18" s="121"/>
      <c r="AA18" s="122" t="s">
        <v>62</v>
      </c>
      <c r="AB18" s="122" t="s">
        <v>76</v>
      </c>
      <c r="AC18" s="122" t="s">
        <v>34</v>
      </c>
      <c r="AD18" s="122" t="s">
        <v>26</v>
      </c>
      <c r="AE18" s="122" t="s">
        <v>42</v>
      </c>
      <c r="AF18" s="122" t="s">
        <v>54</v>
      </c>
      <c r="AG18" s="122" t="s">
        <v>92</v>
      </c>
      <c r="AH18" s="122" t="s">
        <v>42</v>
      </c>
      <c r="AI18" s="122" t="s">
        <v>62</v>
      </c>
      <c r="AJ18" s="122" t="s">
        <v>42</v>
      </c>
      <c r="AK18" s="122" t="s">
        <v>134</v>
      </c>
      <c r="AL18" s="122" t="s">
        <v>26</v>
      </c>
      <c r="AM18" s="122" t="s">
        <v>71</v>
      </c>
      <c r="AN18" s="122" t="s">
        <v>76</v>
      </c>
      <c r="AO18" s="122" t="s">
        <v>34</v>
      </c>
      <c r="AP18" s="122"/>
      <c r="AQ18" s="122"/>
      <c r="AR18" s="122"/>
      <c r="AS18" s="122"/>
      <c r="AT18" s="122"/>
      <c r="AU18" s="122"/>
      <c r="AV18" s="122"/>
      <c r="AW18" s="122"/>
      <c r="AX18" s="122"/>
      <c r="AY18" s="121" t="s">
        <v>26</v>
      </c>
      <c r="AZ18" s="121" t="s">
        <v>58</v>
      </c>
      <c r="BA18" s="121" t="s">
        <v>34</v>
      </c>
      <c r="BB18" s="121" t="s">
        <v>66</v>
      </c>
      <c r="BC18" s="121" t="s">
        <v>42</v>
      </c>
      <c r="BD18" s="121" t="s">
        <v>42</v>
      </c>
      <c r="BE18" s="121" t="s">
        <v>42</v>
      </c>
      <c r="BF18" s="121" t="s">
        <v>92</v>
      </c>
      <c r="BG18" s="121" t="s">
        <v>62</v>
      </c>
      <c r="BH18" s="121" t="s">
        <v>76</v>
      </c>
      <c r="BI18" s="121" t="s">
        <v>134</v>
      </c>
      <c r="BJ18" s="121" t="s">
        <v>76</v>
      </c>
      <c r="BK18" s="121" t="s">
        <v>71</v>
      </c>
      <c r="BL18" s="121" t="s">
        <v>26</v>
      </c>
      <c r="BM18" s="121" t="s">
        <v>66</v>
      </c>
      <c r="BN18" s="121"/>
      <c r="BO18" s="121"/>
      <c r="BP18" s="121"/>
      <c r="BQ18" s="121"/>
      <c r="BR18" s="121"/>
      <c r="BS18" s="121"/>
      <c r="BT18" s="121"/>
      <c r="BU18" s="121"/>
      <c r="BV18" s="121"/>
      <c r="BW18" s="122" t="s">
        <v>34</v>
      </c>
      <c r="BX18" s="122" t="s">
        <v>76</v>
      </c>
      <c r="BY18" s="122" t="s">
        <v>26</v>
      </c>
      <c r="BZ18" s="122" t="s">
        <v>26</v>
      </c>
      <c r="CA18" s="122" t="s">
        <v>58</v>
      </c>
      <c r="CB18" s="122" t="s">
        <v>62</v>
      </c>
      <c r="CC18" s="122" t="s">
        <v>58</v>
      </c>
      <c r="CD18" s="122" t="s">
        <v>92</v>
      </c>
      <c r="CE18" s="122" t="s">
        <v>66</v>
      </c>
      <c r="CF18" s="122" t="s">
        <v>66</v>
      </c>
      <c r="CG18" s="122" t="s">
        <v>134</v>
      </c>
      <c r="CH18" s="122" t="s">
        <v>26</v>
      </c>
      <c r="CI18" s="122" t="s">
        <v>71</v>
      </c>
      <c r="CJ18" s="122" t="s">
        <v>76</v>
      </c>
      <c r="CK18" s="122" t="s">
        <v>76</v>
      </c>
      <c r="CL18" s="122"/>
      <c r="CM18" s="122"/>
      <c r="CN18" s="122"/>
      <c r="CO18" s="122"/>
      <c r="CP18" s="122"/>
      <c r="CQ18" s="122"/>
      <c r="CR18" s="122"/>
      <c r="CS18" s="122"/>
      <c r="CT18" s="122"/>
      <c r="CU18" s="121" t="s">
        <v>34</v>
      </c>
      <c r="CV18" s="121" t="s">
        <v>42</v>
      </c>
      <c r="CW18" s="121" t="s">
        <v>42</v>
      </c>
      <c r="CX18" s="121" t="s">
        <v>26</v>
      </c>
      <c r="CY18" s="121" t="s">
        <v>89</v>
      </c>
      <c r="CZ18" s="121" t="s">
        <v>89</v>
      </c>
      <c r="DA18" s="121" t="s">
        <v>54</v>
      </c>
      <c r="DB18" s="121" t="s">
        <v>26</v>
      </c>
      <c r="DC18" s="121" t="s">
        <v>66</v>
      </c>
      <c r="DD18" s="121" t="s">
        <v>76</v>
      </c>
      <c r="DE18" s="121" t="s">
        <v>134</v>
      </c>
      <c r="DF18" s="121" t="s">
        <v>34</v>
      </c>
      <c r="DG18" s="121" t="s">
        <v>34</v>
      </c>
      <c r="DH18" s="121" t="s">
        <v>66</v>
      </c>
      <c r="DI18" s="121" t="s">
        <v>71</v>
      </c>
      <c r="DJ18" s="121"/>
      <c r="DK18" s="121" t="s">
        <v>136</v>
      </c>
      <c r="DL18" s="121"/>
      <c r="DM18" s="121" t="s">
        <v>138</v>
      </c>
      <c r="DN18" s="121"/>
      <c r="DO18" s="121"/>
      <c r="DP18" s="121"/>
      <c r="DQ18" s="121"/>
      <c r="DR18" s="121"/>
      <c r="DS18" s="122" t="s">
        <v>58</v>
      </c>
      <c r="DT18" s="122" t="s">
        <v>66</v>
      </c>
      <c r="DU18" s="122" t="s">
        <v>34</v>
      </c>
      <c r="DV18" s="122" t="s">
        <v>34</v>
      </c>
      <c r="DW18" s="122" t="s">
        <v>58</v>
      </c>
      <c r="DX18" s="122" t="s">
        <v>54</v>
      </c>
      <c r="DY18" s="122" t="s">
        <v>26</v>
      </c>
      <c r="DZ18" s="122" t="s">
        <v>58</v>
      </c>
      <c r="EA18" s="122" t="s">
        <v>26</v>
      </c>
      <c r="EB18" s="122" t="s">
        <v>26</v>
      </c>
      <c r="EC18" s="122" t="s">
        <v>71</v>
      </c>
      <c r="ED18" s="122" t="s">
        <v>66</v>
      </c>
      <c r="EE18" s="122" t="s">
        <v>34</v>
      </c>
      <c r="EF18" s="122" t="s">
        <v>76</v>
      </c>
      <c r="EG18" s="122" t="s">
        <v>76</v>
      </c>
      <c r="EH18" s="122"/>
      <c r="EI18" s="122"/>
      <c r="EJ18" s="122"/>
      <c r="EK18" s="122"/>
      <c r="EL18" s="122"/>
      <c r="EM18" s="122"/>
      <c r="EN18" s="122"/>
      <c r="EO18" s="122"/>
      <c r="EP18" s="122"/>
      <c r="EQ18" s="121" t="s">
        <v>54</v>
      </c>
      <c r="ER18" s="121" t="s">
        <v>42</v>
      </c>
      <c r="ES18" s="121" t="s">
        <v>42</v>
      </c>
      <c r="ET18" s="121" t="s">
        <v>76</v>
      </c>
      <c r="EU18" s="121" t="s">
        <v>58</v>
      </c>
      <c r="EV18" s="121" t="s">
        <v>62</v>
      </c>
      <c r="EW18" s="121" t="s">
        <v>54</v>
      </c>
      <c r="EX18" s="121" t="s">
        <v>42</v>
      </c>
      <c r="EY18" s="121" t="s">
        <v>62</v>
      </c>
      <c r="EZ18" s="121" t="s">
        <v>76</v>
      </c>
      <c r="FA18" s="121" t="s">
        <v>71</v>
      </c>
      <c r="FB18" s="121" t="s">
        <v>71</v>
      </c>
      <c r="FC18" s="121" t="s">
        <v>34</v>
      </c>
      <c r="FD18" s="121" t="s">
        <v>66</v>
      </c>
      <c r="FE18" s="121" t="s">
        <v>66</v>
      </c>
      <c r="FF18" s="121"/>
      <c r="FG18" s="121" t="s">
        <v>136</v>
      </c>
      <c r="FH18" s="121"/>
      <c r="FI18" s="121" t="s">
        <v>138</v>
      </c>
      <c r="FJ18" s="121"/>
      <c r="FK18" s="121"/>
      <c r="FL18" s="121"/>
      <c r="FM18" s="121"/>
      <c r="FN18" s="121"/>
      <c r="FO18" s="122" t="s">
        <v>93</v>
      </c>
      <c r="FP18" s="122" t="s">
        <v>93</v>
      </c>
      <c r="FQ18" s="122" t="s">
        <v>93</v>
      </c>
      <c r="FR18" s="122" t="s">
        <v>66</v>
      </c>
      <c r="FS18" s="122" t="s">
        <v>93</v>
      </c>
      <c r="FT18" s="122" t="s">
        <v>93</v>
      </c>
      <c r="FU18" s="122" t="s">
        <v>93</v>
      </c>
      <c r="FV18" s="122" t="s">
        <v>93</v>
      </c>
      <c r="FW18" s="122" t="s">
        <v>93</v>
      </c>
      <c r="FX18" s="122" t="s">
        <v>93</v>
      </c>
      <c r="FY18" s="122" t="s">
        <v>134</v>
      </c>
      <c r="FZ18" s="122" t="s">
        <v>93</v>
      </c>
      <c r="GA18" s="122" t="s">
        <v>93</v>
      </c>
      <c r="GB18" s="122" t="s">
        <v>93</v>
      </c>
      <c r="GC18" s="122" t="s">
        <v>93</v>
      </c>
      <c r="GD18" s="122"/>
      <c r="GE18" s="122"/>
      <c r="GF18" s="122"/>
      <c r="GG18" s="122"/>
      <c r="GH18" s="122"/>
      <c r="GI18" s="122"/>
      <c r="GJ18" s="122"/>
      <c r="GK18" s="122"/>
      <c r="GL18" s="122"/>
      <c r="GM18" s="121" t="s">
        <v>62</v>
      </c>
      <c r="GN18" s="121" t="s">
        <v>76</v>
      </c>
      <c r="GO18" s="121" t="s">
        <v>34</v>
      </c>
      <c r="GP18" s="121" t="s">
        <v>26</v>
      </c>
      <c r="GQ18" s="121" t="s">
        <v>42</v>
      </c>
      <c r="GR18" s="121" t="s">
        <v>54</v>
      </c>
      <c r="GS18" s="121" t="s">
        <v>92</v>
      </c>
      <c r="GT18" s="121" t="s">
        <v>42</v>
      </c>
      <c r="GU18" s="121" t="s">
        <v>62</v>
      </c>
      <c r="GV18" s="121" t="s">
        <v>42</v>
      </c>
      <c r="GW18" s="121" t="s">
        <v>134</v>
      </c>
      <c r="GX18" s="121" t="s">
        <v>26</v>
      </c>
      <c r="GY18" s="121" t="s">
        <v>71</v>
      </c>
      <c r="GZ18" s="121" t="s">
        <v>76</v>
      </c>
      <c r="HA18" s="121" t="s">
        <v>34</v>
      </c>
      <c r="HB18" s="121"/>
      <c r="HC18" s="121"/>
      <c r="HD18" s="121"/>
      <c r="HE18" s="121"/>
      <c r="HF18" s="121"/>
      <c r="HG18" s="121"/>
      <c r="HH18" s="121"/>
      <c r="HI18" s="121"/>
      <c r="HJ18" s="121"/>
      <c r="HK18" s="122" t="s">
        <v>26</v>
      </c>
      <c r="HL18" s="122" t="s">
        <v>58</v>
      </c>
      <c r="HM18" s="122" t="s">
        <v>34</v>
      </c>
      <c r="HN18" s="122" t="s">
        <v>66</v>
      </c>
      <c r="HO18" s="122" t="s">
        <v>42</v>
      </c>
      <c r="HP18" s="122" t="s">
        <v>42</v>
      </c>
      <c r="HQ18" s="122" t="s">
        <v>42</v>
      </c>
      <c r="HR18" s="122" t="s">
        <v>92</v>
      </c>
      <c r="HS18" s="122" t="s">
        <v>62</v>
      </c>
      <c r="HT18" s="122" t="s">
        <v>76</v>
      </c>
      <c r="HU18" s="122" t="s">
        <v>134</v>
      </c>
      <c r="HV18" s="122" t="s">
        <v>76</v>
      </c>
      <c r="HW18" s="122" t="s">
        <v>71</v>
      </c>
      <c r="HX18" s="122" t="s">
        <v>26</v>
      </c>
      <c r="HY18" s="122" t="s">
        <v>66</v>
      </c>
      <c r="HZ18" s="122"/>
      <c r="IA18" s="122"/>
      <c r="IB18" s="122"/>
      <c r="IC18" s="122"/>
      <c r="ID18" s="122"/>
      <c r="IE18" s="122"/>
      <c r="IF18" s="122"/>
      <c r="IG18" s="122"/>
      <c r="IH18" s="122"/>
      <c r="II18" s="121" t="s">
        <v>34</v>
      </c>
      <c r="IJ18" s="121" t="s">
        <v>76</v>
      </c>
      <c r="IK18" s="121" t="s">
        <v>26</v>
      </c>
      <c r="IL18" s="121" t="s">
        <v>26</v>
      </c>
      <c r="IM18" s="121" t="s">
        <v>58</v>
      </c>
      <c r="IN18" s="121" t="s">
        <v>62</v>
      </c>
      <c r="IO18" s="121" t="s">
        <v>58</v>
      </c>
      <c r="IP18" s="121" t="s">
        <v>92</v>
      </c>
      <c r="IQ18" s="121" t="s">
        <v>66</v>
      </c>
      <c r="IR18" s="121" t="s">
        <v>66</v>
      </c>
      <c r="IS18" s="121" t="s">
        <v>134</v>
      </c>
      <c r="IT18" s="121" t="s">
        <v>26</v>
      </c>
      <c r="IU18" s="121" t="s">
        <v>71</v>
      </c>
      <c r="IV18" s="121" t="s">
        <v>76</v>
      </c>
      <c r="IW18" s="121" t="s">
        <v>76</v>
      </c>
      <c r="IX18" s="121"/>
      <c r="IY18" s="121"/>
      <c r="IZ18" s="121"/>
      <c r="JA18" s="121"/>
      <c r="JB18" s="121"/>
      <c r="JC18" s="121"/>
      <c r="JD18" s="121"/>
      <c r="JE18" s="121"/>
      <c r="JF18" s="121"/>
      <c r="JG18" s="122" t="s">
        <v>76</v>
      </c>
      <c r="JH18" s="122" t="s">
        <v>42</v>
      </c>
      <c r="JI18" s="122" t="s">
        <v>42</v>
      </c>
      <c r="JJ18" s="122" t="s">
        <v>26</v>
      </c>
      <c r="JK18" s="122" t="s">
        <v>89</v>
      </c>
      <c r="JL18" s="122" t="s">
        <v>89</v>
      </c>
      <c r="JM18" s="122" t="s">
        <v>54</v>
      </c>
      <c r="JN18" s="122" t="s">
        <v>26</v>
      </c>
      <c r="JO18" s="122" t="s">
        <v>66</v>
      </c>
      <c r="JP18" s="122" t="s">
        <v>76</v>
      </c>
      <c r="JQ18" s="122" t="s">
        <v>134</v>
      </c>
      <c r="JR18" s="122" t="s">
        <v>26</v>
      </c>
      <c r="JS18" s="122" t="s">
        <v>34</v>
      </c>
      <c r="JT18" s="122" t="s">
        <v>66</v>
      </c>
      <c r="JU18" s="122" t="s">
        <v>71</v>
      </c>
      <c r="JV18" s="122"/>
      <c r="JW18" s="122" t="s">
        <v>136</v>
      </c>
      <c r="JX18" s="122"/>
      <c r="JY18" s="122" t="s">
        <v>138</v>
      </c>
      <c r="JZ18" s="122"/>
      <c r="KA18" s="122"/>
      <c r="KB18" s="122"/>
      <c r="KC18" s="122"/>
      <c r="KD18" s="122"/>
    </row>
    <row r="19" spans="1:290" s="117" customFormat="1" ht="18" customHeight="1" x14ac:dyDescent="0.4">
      <c r="A19" s="145"/>
      <c r="B19" s="143"/>
      <c r="C19" s="125" t="str">
        <f>IFERROR(VLOOKUP(C18,教师安排!$A:$Y,C$2+1,FALSE),"")</f>
        <v>侯淑贤</v>
      </c>
      <c r="D19" s="125" t="str">
        <f>IFERROR(VLOOKUP(D18,教师安排!$A:$Y,D$2+1,FALSE),"")</f>
        <v>田凤美</v>
      </c>
      <c r="E19" s="125" t="str">
        <f>IFERROR(VLOOKUP(E18,教师安排!$A:$Y,E$2+1,FALSE),"")</f>
        <v>厉彦龙</v>
      </c>
      <c r="F19" s="125" t="str">
        <f>IFERROR(VLOOKUP(F18,教师安排!$A:$Y,F$2+1,FALSE),"")</f>
        <v>李雯</v>
      </c>
      <c r="G19" s="125" t="str">
        <f>IFERROR(VLOOKUP(G18,教师安排!$A:$Y,G$2+1,FALSE),"")</f>
        <v>李振铎</v>
      </c>
      <c r="H19" s="125" t="str">
        <f>IFERROR(VLOOKUP(H18,教师安排!$A:$Y,H$2+1,FALSE),"")</f>
        <v>蒋心言</v>
      </c>
      <c r="I19" s="125" t="str">
        <f>IFERROR(VLOOKUP(I18,教师安排!$A:$Y,I$2+1,FALSE),"")</f>
        <v>王雪莲</v>
      </c>
      <c r="J19" s="125" t="str">
        <f>IFERROR(VLOOKUP(J18,教师安排!$A:$Y,J$2+1,FALSE),"")</f>
        <v>高文凤</v>
      </c>
      <c r="K19" s="125" t="str">
        <f>IFERROR(VLOOKUP(K18,教师安排!$A:$Y,K$2+1,FALSE),"")</f>
        <v>张冰雪</v>
      </c>
      <c r="L19" s="125" t="str">
        <f>IFERROR(VLOOKUP(L18,教师安排!$A:$Y,L$2+1,FALSE),"")</f>
        <v>孙娜</v>
      </c>
      <c r="M19" s="125">
        <f>IFERROR(VLOOKUP(M18,教师安排!$A:$Y,M$2+1,FALSE),"")</f>
        <v>0</v>
      </c>
      <c r="N19" s="125" t="str">
        <f>IFERROR(VLOOKUP(N18,教师安排!$A:$Y,N$2+1,FALSE),"")</f>
        <v>韩丽梅</v>
      </c>
      <c r="O19" s="125" t="str">
        <f>IFERROR(VLOOKUP(O18,教师安排!$A:$Y,O$2+1,FALSE),"")</f>
        <v>王菲</v>
      </c>
      <c r="P19" s="125" t="str">
        <f>IFERROR(VLOOKUP(P18,教师安排!$A:$Y,P$2+1,FALSE),"")</f>
        <v>翟淑玮</v>
      </c>
      <c r="Q19" s="125" t="str">
        <f>IFERROR(VLOOKUP(Q18,教师安排!$A:$Y,Q$2+1,FALSE),"")</f>
        <v>张鑫</v>
      </c>
      <c r="R19" s="125" t="str">
        <f>IFERROR(VLOOKUP(R18,教师安排!$A:$Y,R$2+1,FALSE),"")</f>
        <v/>
      </c>
      <c r="S19" s="125" t="str">
        <f>IFERROR(VLOOKUP(S18,教师安排!$A:$Y,S$2+1,FALSE),"")</f>
        <v/>
      </c>
      <c r="T19" s="125" t="str">
        <f>IFERROR(VLOOKUP(T18,教师安排!$A:$Y,T$2+1,FALSE),"")</f>
        <v/>
      </c>
      <c r="U19" s="125" t="str">
        <f>IFERROR(VLOOKUP(U18,教师安排!$A:$Y,U$2+1,FALSE),"")</f>
        <v/>
      </c>
      <c r="V19" s="125"/>
      <c r="W19" s="125" t="str">
        <f>IFERROR(VLOOKUP(W18,教师安排!$A:$Y,W$2+1,FALSE),"")</f>
        <v/>
      </c>
      <c r="X19" s="125" t="str">
        <f>IFERROR(VLOOKUP(X18,教师安排!$A:$Y,X$2+1,FALSE),"")</f>
        <v/>
      </c>
      <c r="Y19" s="125" t="str">
        <f>IFERROR(VLOOKUP(Y18,教师安排!$A:$Y,Y$2+1,FALSE),"")</f>
        <v/>
      </c>
      <c r="Z19" s="125" t="str">
        <f>IFERROR(VLOOKUP(Z18,教师安排!$A:$Y,Z$2+1,FALSE),"")</f>
        <v/>
      </c>
      <c r="AA19" s="126" t="str">
        <f>IFERROR(VLOOKUP(AA18,教师安排!$A:$Y,AA$2+1,FALSE),"")</f>
        <v>周兴玲</v>
      </c>
      <c r="AB19" s="126" t="str">
        <f>IFERROR(VLOOKUP(AB18,教师安排!$A:$Y,AB$2+1,FALSE),"")</f>
        <v>李会玲</v>
      </c>
      <c r="AC19" s="126" t="str">
        <f>IFERROR(VLOOKUP(AC18,教师安排!$A:$Y,AC$2+1,FALSE),"")</f>
        <v>姚来朋</v>
      </c>
      <c r="AD19" s="126" t="str">
        <f>IFERROR(VLOOKUP(AD18,教师安排!$A:$Y,AD$2+1,FALSE),"")</f>
        <v>史振塞</v>
      </c>
      <c r="AE19" s="126" t="str">
        <f>IFERROR(VLOOKUP(AE18,教师安排!$A:$Y,AE$2+1,FALSE),"")</f>
        <v>王灼</v>
      </c>
      <c r="AF19" s="126" t="str">
        <f>IFERROR(VLOOKUP(AF18,教师安排!$A:$Y,AF$2+1,FALSE),"")</f>
        <v>孙存义</v>
      </c>
      <c r="AG19" s="126" t="str">
        <f>IFERROR(VLOOKUP(AG18,教师安排!$A:$Y,AG$2+1,FALSE),"")</f>
        <v>孙显阳</v>
      </c>
      <c r="AH19" s="126" t="str">
        <f>IFERROR(VLOOKUP(AH18,教师安排!$A:$Y,AH$2+1,FALSE),"")</f>
        <v>宋平</v>
      </c>
      <c r="AI19" s="126" t="str">
        <f>IFERROR(VLOOKUP(AI18,教师安排!$A:$Y,AI$2+1,FALSE),"")</f>
        <v>刘腾</v>
      </c>
      <c r="AJ19" s="126" t="str">
        <f>IFERROR(VLOOKUP(AJ18,教师安排!$A:$Y,AJ$2+1,FALSE),"")</f>
        <v>胡存想</v>
      </c>
      <c r="AK19" s="126">
        <f>IFERROR(VLOOKUP(AK18,教师安排!$A:$Y,AK$2+1,FALSE),"")</f>
        <v>0</v>
      </c>
      <c r="AL19" s="126" t="str">
        <f>IFERROR(VLOOKUP(AL18,教师安排!$A:$Y,AL$2+1,FALSE),"")</f>
        <v>王雪莲</v>
      </c>
      <c r="AM19" s="126" t="str">
        <f>IFERROR(VLOOKUP(AM18,教师安排!$A:$Y,AM$2+1,FALSE),"")</f>
        <v>李浩然</v>
      </c>
      <c r="AN19" s="126" t="str">
        <f>IFERROR(VLOOKUP(AN18,教师安排!$A:$Y,AN$2+1,FALSE),"")</f>
        <v>孙锦锦</v>
      </c>
      <c r="AO19" s="126" t="str">
        <f>IFERROR(VLOOKUP(AO18,教师安排!$A:$Y,AO$2+1,FALSE),"")</f>
        <v>高文凤</v>
      </c>
      <c r="AP19" s="126" t="str">
        <f>IFERROR(VLOOKUP(AP18,教师安排!$A:$Y,AP$2+1,FALSE),"")</f>
        <v/>
      </c>
      <c r="AQ19" s="126" t="str">
        <f>IFERROR(VLOOKUP(AQ18,教师安排!$A:$Y,AQ$2+1,FALSE),"")</f>
        <v/>
      </c>
      <c r="AR19" s="126" t="str">
        <f>IFERROR(VLOOKUP(AR18,教师安排!$A:$Y,AR$2+1,FALSE),"")</f>
        <v/>
      </c>
      <c r="AS19" s="126" t="str">
        <f>IFERROR(VLOOKUP(AS18,教师安排!$A:$Y,AS$2+1,FALSE),"")</f>
        <v/>
      </c>
      <c r="AT19" s="126"/>
      <c r="AU19" s="126" t="str">
        <f>IFERROR(VLOOKUP(AU18,教师安排!$A:$Y,AU$2+1,FALSE),"")</f>
        <v/>
      </c>
      <c r="AV19" s="126" t="str">
        <f>IFERROR(VLOOKUP(AV18,教师安排!$A:$Y,AV$2+1,FALSE),"")</f>
        <v/>
      </c>
      <c r="AW19" s="126" t="str">
        <f>IFERROR(VLOOKUP(AW18,教师安排!$A:$Y,AW$2+1,FALSE),"")</f>
        <v/>
      </c>
      <c r="AX19" s="126" t="str">
        <f>IFERROR(VLOOKUP(AX18,教师安排!$A:$Y,AX$2+1,FALSE),"")</f>
        <v/>
      </c>
      <c r="AY19" s="125" t="str">
        <f>IFERROR(VLOOKUP(AY18,教师安排!$A:$Y,AY$2+1,FALSE),"")</f>
        <v>杨彬</v>
      </c>
      <c r="AZ19" s="125" t="str">
        <f>IFERROR(VLOOKUP(AZ18,教师安排!$A:$Y,AZ$2+1,FALSE),"")</f>
        <v>宋开元</v>
      </c>
      <c r="BA19" s="125" t="str">
        <f>IFERROR(VLOOKUP(BA18,教师安排!$A:$Y,BA$2+1,FALSE),"")</f>
        <v>姚来朋</v>
      </c>
      <c r="BB19" s="125" t="str">
        <f>IFERROR(VLOOKUP(BB18,教师安排!$A:$Y,BB$2+1,FALSE),"")</f>
        <v>李雯</v>
      </c>
      <c r="BC19" s="125" t="str">
        <f>IFERROR(VLOOKUP(BC18,教师安排!$A:$Y,BC$2+1,FALSE),"")</f>
        <v>王灼</v>
      </c>
      <c r="BD19" s="125" t="str">
        <f>IFERROR(VLOOKUP(BD18,教师安排!$A:$Y,BD$2+1,FALSE),"")</f>
        <v>翟淑玮</v>
      </c>
      <c r="BE19" s="125" t="str">
        <f>IFERROR(VLOOKUP(BE18,教师安排!$A:$Y,BE$2+1,FALSE),"")</f>
        <v>韩丽梅</v>
      </c>
      <c r="BF19" s="125" t="str">
        <f>IFERROR(VLOOKUP(BF18,教师安排!$A:$Y,BF$2+1,FALSE),"")</f>
        <v>孙显阳</v>
      </c>
      <c r="BG19" s="125" t="str">
        <f>IFERROR(VLOOKUP(BG18,教师安排!$A:$Y,BG$2+1,FALSE),"")</f>
        <v>刘腾</v>
      </c>
      <c r="BH19" s="125" t="str">
        <f>IFERROR(VLOOKUP(BH18,教师安排!$A:$Y,BH$2+1,FALSE),"")</f>
        <v>孙秋杰</v>
      </c>
      <c r="BI19" s="125">
        <f>IFERROR(VLOOKUP(BI18,教师安排!$A:$Y,BI$2+1,FALSE),"")</f>
        <v>0</v>
      </c>
      <c r="BJ19" s="125" t="str">
        <f>IFERROR(VLOOKUP(BJ18,教师安排!$A:$Y,BJ$2+1,FALSE),"")</f>
        <v>王硕</v>
      </c>
      <c r="BK19" s="125" t="str">
        <f>IFERROR(VLOOKUP(BK18,教师安排!$A:$Y,BK$2+1,FALSE),"")</f>
        <v>李浩然</v>
      </c>
      <c r="BL19" s="125" t="str">
        <f>IFERROR(VLOOKUP(BL18,教师安排!$A:$Y,BL$2+1,FALSE),"")</f>
        <v>姜媛媛</v>
      </c>
      <c r="BM19" s="125" t="str">
        <f>IFERROR(VLOOKUP(BM18,教师安排!$A:$Y,BM$2+1,FALSE),"")</f>
        <v>夏文杰</v>
      </c>
      <c r="BN19" s="125" t="str">
        <f>IFERROR(VLOOKUP(BN18,教师安排!$A:$Y,BN$2+1,FALSE),"")</f>
        <v/>
      </c>
      <c r="BO19" s="125" t="str">
        <f>IFERROR(VLOOKUP(BO18,教师安排!$A:$Y,BO$2+1,FALSE),"")</f>
        <v/>
      </c>
      <c r="BP19" s="125" t="str">
        <f>IFERROR(VLOOKUP(BP18,教师安排!$A:$Y,BP$2+1,FALSE),"")</f>
        <v/>
      </c>
      <c r="BQ19" s="125" t="str">
        <f>IFERROR(VLOOKUP(BQ18,教师安排!$A:$Y,BQ$2+1,FALSE),"")</f>
        <v/>
      </c>
      <c r="BR19" s="125"/>
      <c r="BS19" s="125" t="str">
        <f>IFERROR(VLOOKUP(BS18,教师安排!$A:$Y,BS$2+1,FALSE),"")</f>
        <v/>
      </c>
      <c r="BT19" s="125" t="str">
        <f>IFERROR(VLOOKUP(BT18,教师安排!$A:$Y,BT$2+1,FALSE),"")</f>
        <v/>
      </c>
      <c r="BU19" s="125" t="str">
        <f>IFERROR(VLOOKUP(BU18,教师安排!$A:$Y,BU$2+1,FALSE),"")</f>
        <v/>
      </c>
      <c r="BV19" s="125" t="str">
        <f>IFERROR(VLOOKUP(BV18,教师安排!$A:$Y,BV$2+1,FALSE),"")</f>
        <v/>
      </c>
      <c r="BW19" s="126" t="str">
        <f>IFERROR(VLOOKUP(BW18,教师安排!$A:$Y,BW$2+1,FALSE),"")</f>
        <v>侯淑贤</v>
      </c>
      <c r="BX19" s="126" t="str">
        <f>IFERROR(VLOOKUP(BX18,教师安排!$A:$Y,BX$2+1,FALSE),"")</f>
        <v>李会玲</v>
      </c>
      <c r="BY19" s="126" t="str">
        <f>IFERROR(VLOOKUP(BY18,教师安排!$A:$Y,BY$2+1,FALSE),"")</f>
        <v>杨彬</v>
      </c>
      <c r="BZ19" s="126" t="str">
        <f>IFERROR(VLOOKUP(BZ18,教师安排!$A:$Y,BZ$2+1,FALSE),"")</f>
        <v>史振塞</v>
      </c>
      <c r="CA19" s="126" t="str">
        <f>IFERROR(VLOOKUP(CA18,教师安排!$A:$Y,CA$2+1,FALSE),"")</f>
        <v>李振铎</v>
      </c>
      <c r="CB19" s="126" t="str">
        <f>IFERROR(VLOOKUP(CB18,教师安排!$A:$Y,CB$2+1,FALSE),"")</f>
        <v>蒋心言</v>
      </c>
      <c r="CC19" s="126" t="str">
        <f>IFERROR(VLOOKUP(CC18,教师安排!$A:$Y,CC$2+1,FALSE),"")</f>
        <v>马崇庆</v>
      </c>
      <c r="CD19" s="126" t="str">
        <f>IFERROR(VLOOKUP(CD18,教师安排!$A:$Y,CD$2+1,FALSE),"")</f>
        <v>孙显阳</v>
      </c>
      <c r="CE19" s="126" t="str">
        <f>IFERROR(VLOOKUP(CE18,教师安排!$A:$Y,CE$2+1,FALSE),"")</f>
        <v>田凤美</v>
      </c>
      <c r="CF19" s="126" t="str">
        <f>IFERROR(VLOOKUP(CF18,教师安排!$A:$Y,CF$2+1,FALSE),"")</f>
        <v>董艳华</v>
      </c>
      <c r="CG19" s="126">
        <f>IFERROR(VLOOKUP(CG18,教师安排!$A:$Y,CG$2+1,FALSE),"")</f>
        <v>0</v>
      </c>
      <c r="CH19" s="126" t="str">
        <f>IFERROR(VLOOKUP(CH18,教师安排!$A:$Y,CH$2+1,FALSE),"")</f>
        <v>王雪莲</v>
      </c>
      <c r="CI19" s="126" t="str">
        <f>IFERROR(VLOOKUP(CI18,教师安排!$A:$Y,CI$2+1,FALSE),"")</f>
        <v>李浩然</v>
      </c>
      <c r="CJ19" s="126" t="str">
        <f>IFERROR(VLOOKUP(CJ18,教师安排!$A:$Y,CJ$2+1,FALSE),"")</f>
        <v>孙锦锦</v>
      </c>
      <c r="CK19" s="126" t="str">
        <f>IFERROR(VLOOKUP(CK18,教师安排!$A:$Y,CK$2+1,FALSE),"")</f>
        <v>孙秋杰</v>
      </c>
      <c r="CL19" s="126" t="str">
        <f>IFERROR(VLOOKUP(CL18,教师安排!$A:$Y,CL$2+1,FALSE),"")</f>
        <v/>
      </c>
      <c r="CM19" s="126" t="str">
        <f>IFERROR(VLOOKUP(CM18,教师安排!$A:$Y,CM$2+1,FALSE),"")</f>
        <v/>
      </c>
      <c r="CN19" s="126" t="str">
        <f>IFERROR(VLOOKUP(CN18,教师安排!$A:$Y,CN$2+1,FALSE),"")</f>
        <v/>
      </c>
      <c r="CO19" s="126" t="str">
        <f>IFERROR(VLOOKUP(CO18,教师安排!$A:$Y,CO$2+1,FALSE),"")</f>
        <v/>
      </c>
      <c r="CP19" s="126" t="str">
        <f>IFERROR(VLOOKUP(CP18,教师安排!$A:$Y,CP$2+1,FALSE),"")</f>
        <v/>
      </c>
      <c r="CQ19" s="126"/>
      <c r="CR19" s="126" t="str">
        <f>IFERROR(VLOOKUP(CR18,教师安排!$A:$Y,CR$2+1,FALSE),"")</f>
        <v/>
      </c>
      <c r="CS19" s="126"/>
      <c r="CT19" s="126" t="str">
        <f>IFERROR(VLOOKUP(CT18,教师安排!$A:$Y,CT$2+1,FALSE),"")</f>
        <v/>
      </c>
      <c r="CU19" s="125" t="str">
        <f>IFERROR(VLOOKUP(CU18,教师安排!$A:$Y,CU$2+1,FALSE),"")</f>
        <v>侯淑贤</v>
      </c>
      <c r="CV19" s="125" t="str">
        <f>IFERROR(VLOOKUP(CV18,教师安排!$A:$Y,CV$2+1,FALSE),"")</f>
        <v>岳/厉</v>
      </c>
      <c r="CW19" s="125" t="str">
        <f>IFERROR(VLOOKUP(CW18,教师安排!$A:$Y,CW$2+1,FALSE),"")</f>
        <v>岳/厉</v>
      </c>
      <c r="CX19" s="125" t="str">
        <f>IFERROR(VLOOKUP(CX18,教师安排!$A:$Y,CX$2+1,FALSE),"")</f>
        <v>史振塞</v>
      </c>
      <c r="CY19" s="125" t="str">
        <f>IFERROR(VLOOKUP(CY18,教师安排!$A:$Y,CY$2+1,FALSE),"")</f>
        <v>孙显阳</v>
      </c>
      <c r="CZ19" s="125" t="str">
        <f>IFERROR(VLOOKUP(CZ18,教师安排!$A:$Y,CZ$2+1,FALSE),"")</f>
        <v>张喆</v>
      </c>
      <c r="DA19" s="125" t="str">
        <f>IFERROR(VLOOKUP(DA18,教师安排!$A:$Y,DA$2+1,FALSE),"")</f>
        <v>孙存义</v>
      </c>
      <c r="DB19" s="125" t="str">
        <f>IFERROR(VLOOKUP(DB18,教师安排!$A:$Y,DB$2+1,FALSE),"")</f>
        <v>路睿</v>
      </c>
      <c r="DC19" s="125" t="str">
        <f>IFERROR(VLOOKUP(DC18,教师安排!$A:$Y,DC$2+1,FALSE),"")</f>
        <v>田凤美</v>
      </c>
      <c r="DD19" s="125" t="str">
        <f>IFERROR(VLOOKUP(DD18,教师安排!$A:$Y,DD$2+1,FALSE),"")</f>
        <v>孙秋杰</v>
      </c>
      <c r="DE19" s="125">
        <f>IFERROR(VLOOKUP(DE18,教师安排!$A:$Y,DE$2+1,FALSE),"")</f>
        <v>0</v>
      </c>
      <c r="DF19" s="125" t="str">
        <f>IFERROR(VLOOKUP(DF18,教师安排!$A:$Y,DF$2+1,FALSE),"")</f>
        <v>孙娜</v>
      </c>
      <c r="DG19" s="125" t="str">
        <f>IFERROR(VLOOKUP(DG18,教师安排!$A:$Y,DG$2+1,FALSE),"")</f>
        <v>范林林</v>
      </c>
      <c r="DH19" s="125" t="str">
        <f>IFERROR(VLOOKUP(DH18,教师安排!$A:$Y,DH$2+1,FALSE),"")</f>
        <v>董艳华</v>
      </c>
      <c r="DI19" s="125" t="str">
        <f>IFERROR(VLOOKUP(DI18,教师安排!$A:$Y,DI$2+1,FALSE),"")</f>
        <v>张鑫</v>
      </c>
      <c r="DJ19" s="125" t="str">
        <f>IFERROR(VLOOKUP(DJ18,教师安排!$A:$Y,DJ$2+1,FALSE),"")</f>
        <v/>
      </c>
      <c r="DK19" s="125" t="str">
        <f>IFERROR(VLOOKUP(DK18,教师安排!$A:$Y,DK$2+1,FALSE),"")</f>
        <v>岳海霞</v>
      </c>
      <c r="DL19" s="125" t="str">
        <f>IFERROR(VLOOKUP(DL18,教师安排!$A:$Y,DL$2+1,FALSE),"")</f>
        <v/>
      </c>
      <c r="DM19" s="125" t="str">
        <f>IFERROR(VLOOKUP(DM18,教师安排!$A:$Y,DM$2+1,FALSE),"")</f>
        <v>厉彦龙</v>
      </c>
      <c r="DN19" s="125"/>
      <c r="DO19" s="125" t="str">
        <f>IFERROR(VLOOKUP(DO18,教师安排!$A:$Y,DO$2+1,FALSE),"")</f>
        <v/>
      </c>
      <c r="DP19" s="125" t="str">
        <f>IFERROR(VLOOKUP(DP18,教师安排!$A:$Y,DP$2+1,FALSE),"")</f>
        <v/>
      </c>
      <c r="DQ19" s="125" t="str">
        <f>IFERROR(VLOOKUP(DQ18,教师安排!$A:$Y,DQ$2+1,FALSE),"")</f>
        <v/>
      </c>
      <c r="DR19" s="125" t="str">
        <f>IFERROR(VLOOKUP(DR18,教师安排!$A:$Y,DR$2+1,FALSE),"")</f>
        <v/>
      </c>
      <c r="DS19" s="124" t="str">
        <f>IFERROR(VLOOKUP(DS18,教师安排!$A:$Y,DS$2+1,FALSE),"")</f>
        <v>马崇庆</v>
      </c>
      <c r="DT19" s="124" t="str">
        <f>IFERROR(VLOOKUP(DT18,教师安排!$A:$Y,DT$2+1,FALSE),"")</f>
        <v>田凤美</v>
      </c>
      <c r="DU19" s="124" t="str">
        <f>IFERROR(VLOOKUP(DU18,教师安排!$A:$Y,DU$2+1,FALSE),"")</f>
        <v>姚来朋</v>
      </c>
      <c r="DV19" s="124" t="str">
        <f>IFERROR(VLOOKUP(DV18,教师安排!$A:$Y,DV$2+1,FALSE),"")</f>
        <v>侯淑贤</v>
      </c>
      <c r="DW19" s="124" t="str">
        <f>IFERROR(VLOOKUP(DW18,教师安排!$A:$Y,DW$2+1,FALSE),"")</f>
        <v>李振铎</v>
      </c>
      <c r="DX19" s="124" t="str">
        <f>IFERROR(VLOOKUP(DX18,教师安排!$A:$Y,DX$2+1,FALSE),"")</f>
        <v>孙存义</v>
      </c>
      <c r="DY19" s="124" t="str">
        <f>IFERROR(VLOOKUP(DY18,教师安排!$A:$Y,DY$2+1,FALSE),"")</f>
        <v>王雪莲</v>
      </c>
      <c r="DZ19" s="124" t="str">
        <f>IFERROR(VLOOKUP(DZ18,教师安排!$A:$Y,DZ$2+1,FALSE),"")</f>
        <v>宋开元</v>
      </c>
      <c r="EA19" s="124" t="str">
        <f>IFERROR(VLOOKUP(EA18,教师安排!$A:$Y,EA$2+1,FALSE),"")</f>
        <v>张冰雪</v>
      </c>
      <c r="EB19" s="124" t="str">
        <f>IFERROR(VLOOKUP(EB18,教师安排!$A:$Y,EB$2+1,FALSE),"")</f>
        <v>王菲</v>
      </c>
      <c r="EC19" s="124" t="str">
        <f>IFERROR(VLOOKUP(EC18,教师安排!$A:$Y,EC$2+1,FALSE),"")</f>
        <v>张雯皓</v>
      </c>
      <c r="ED19" s="124" t="str">
        <f>IFERROR(VLOOKUP(ED18,教师安排!$A:$Y,ED$2+1,FALSE),"")</f>
        <v>董艳华</v>
      </c>
      <c r="EE19" s="124" t="str">
        <f>IFERROR(VLOOKUP(EE18,教师安排!$A:$Y,EE$2+1,FALSE),"")</f>
        <v>范林林</v>
      </c>
      <c r="EF19" s="124" t="str">
        <f>IFERROR(VLOOKUP(EF18,教师安排!$A:$Y,EF$2+1,FALSE),"")</f>
        <v>孙锦锦</v>
      </c>
      <c r="EG19" s="124" t="str">
        <f>IFERROR(VLOOKUP(EG18,教师安排!$A:$Y,EG$2+1,FALSE),"")</f>
        <v>孙秋杰</v>
      </c>
      <c r="EH19" s="124" t="str">
        <f>IFERROR(VLOOKUP(EH18,教师安排!$A:$Y,EH$2+1,FALSE),"")</f>
        <v/>
      </c>
      <c r="EI19" s="124" t="str">
        <f>IFERROR(VLOOKUP(EI18,教师安排!$A:$Y,EI$2+1,FALSE),"")</f>
        <v/>
      </c>
      <c r="EJ19" s="124" t="str">
        <f>IFERROR(VLOOKUP(EJ18,教师安排!$A:$Y,EJ$2+1,FALSE),"")</f>
        <v/>
      </c>
      <c r="EK19" s="124" t="str">
        <f>IFERROR(VLOOKUP(EK18,教师安排!$A:$Y,EK$2+1,FALSE),"")</f>
        <v/>
      </c>
      <c r="EL19" s="124"/>
      <c r="EM19" s="124" t="str">
        <f>IFERROR(VLOOKUP(EM18,教师安排!$A:$Y,EM$2+1,FALSE),"")</f>
        <v/>
      </c>
      <c r="EN19" s="124" t="str">
        <f>IFERROR(VLOOKUP(EN18,教师安排!$A:$Y,EN$2+1,FALSE),"")</f>
        <v/>
      </c>
      <c r="EO19" s="124" t="str">
        <f>IFERROR(VLOOKUP(EO18,教师安排!$A:$Y,EO$2+1,FALSE),"")</f>
        <v/>
      </c>
      <c r="EP19" s="124" t="str">
        <f>IFERROR(VLOOKUP(EP18,教师安排!$A:$Y,EP$2+1,FALSE),"")</f>
        <v/>
      </c>
      <c r="EQ19" s="123" t="str">
        <f>IFERROR(VLOOKUP(EQ18,教师安排!$A:$Y,EQ$2+1,FALSE),"")</f>
        <v>康波</v>
      </c>
      <c r="ER19" s="123" t="str">
        <f>IFERROR(VLOOKUP(ER18,教师安排!$A:$Y,ER$2+1,FALSE),"")</f>
        <v>岳/厉</v>
      </c>
      <c r="ES19" s="123" t="str">
        <f>IFERROR(VLOOKUP(ES18,教师安排!$A:$Y,ES$2+1,FALSE),"")</f>
        <v>岳/厉</v>
      </c>
      <c r="ET19" s="123" t="str">
        <f>IFERROR(VLOOKUP(ET18,教师安排!$A:$Y,ET$2+1,FALSE),"")</f>
        <v>李会玲</v>
      </c>
      <c r="EU19" s="123" t="str">
        <f>IFERROR(VLOOKUP(EU18,教师安排!$A:$Y,EU$2+1,FALSE),"")</f>
        <v>李振铎</v>
      </c>
      <c r="EV19" s="123" t="str">
        <f>IFERROR(VLOOKUP(EV18,教师安排!$A:$Y,EV$2+1,FALSE),"")</f>
        <v>蒋心言</v>
      </c>
      <c r="EW19" s="123" t="str">
        <f>IFERROR(VLOOKUP(EW18,教师安排!$A:$Y,EW$2+1,FALSE),"")</f>
        <v>孙存义</v>
      </c>
      <c r="EX19" s="123" t="str">
        <f>IFERROR(VLOOKUP(EX18,教师安排!$A:$Y,EX$2+1,FALSE),"")</f>
        <v>宋平</v>
      </c>
      <c r="EY19" s="123" t="str">
        <f>IFERROR(VLOOKUP(EY18,教师安排!$A:$Y,EY$2+1,FALSE),"")</f>
        <v>刘腾</v>
      </c>
      <c r="EZ19" s="123" t="str">
        <f>IFERROR(VLOOKUP(EZ18,教师安排!$A:$Y,EZ$2+1,FALSE),"")</f>
        <v>孙秋杰</v>
      </c>
      <c r="FA19" s="123" t="str">
        <f>IFERROR(VLOOKUP(FA18,教师安排!$A:$Y,FA$2+1,FALSE),"")</f>
        <v>张雯皓</v>
      </c>
      <c r="FB19" s="123" t="str">
        <f>IFERROR(VLOOKUP(FB18,教师安排!$A:$Y,FB$2+1,FALSE),"")</f>
        <v>张鑫</v>
      </c>
      <c r="FC19" s="123" t="str">
        <f>IFERROR(VLOOKUP(FC18,教师安排!$A:$Y,FC$2+1,FALSE),"")</f>
        <v>范林林</v>
      </c>
      <c r="FD19" s="123" t="str">
        <f>IFERROR(VLOOKUP(FD18,教师安排!$A:$Y,FD$2+1,FALSE),"")</f>
        <v>董艳华</v>
      </c>
      <c r="FE19" s="123" t="str">
        <f>IFERROR(VLOOKUP(FE18,教师安排!$A:$Y,FE$2+1,FALSE),"")</f>
        <v>夏文杰</v>
      </c>
      <c r="FF19" s="123" t="str">
        <f>IFERROR(VLOOKUP(FF18,教师安排!$A:$Y,FF$2+1,FALSE),"")</f>
        <v/>
      </c>
      <c r="FG19" s="123" t="str">
        <f>IFERROR(VLOOKUP(FG18,教师安排!$A:$Y,FG$2+1,FALSE),"")</f>
        <v>岳海霞</v>
      </c>
      <c r="FH19" s="123" t="str">
        <f>IFERROR(VLOOKUP(FH18,教师安排!$A:$Y,FH$2+1,FALSE),"")</f>
        <v/>
      </c>
      <c r="FI19" s="123" t="str">
        <f>IFERROR(VLOOKUP(FI18,教师安排!$A:$Y,FI$2+1,FALSE),"")</f>
        <v>厉彦龙</v>
      </c>
      <c r="FJ19" s="123"/>
      <c r="FK19" s="123" t="str">
        <f>IFERROR(VLOOKUP(FK18,教师安排!$A:$Y,FK$2+1,FALSE),"")</f>
        <v/>
      </c>
      <c r="FL19" s="123" t="str">
        <f>IFERROR(VLOOKUP(FL18,教师安排!$A:$Y,FL$2+1,FALSE),"")</f>
        <v/>
      </c>
      <c r="FM19" s="123" t="str">
        <f>IFERROR(VLOOKUP(FM18,教师安排!$A:$Y,FM$2+1,FALSE),"")</f>
        <v/>
      </c>
      <c r="FN19" s="123" t="str">
        <f>IFERROR(VLOOKUP(FN18,教师安排!$A:$Y,FN$2+1,FALSE),"")</f>
        <v/>
      </c>
      <c r="FO19" s="126" t="str">
        <f>IFERROR(VLOOKUP(FO18,教师安排!$A:$Y,FO$2+1,FALSE),"")</f>
        <v>侯淑贤</v>
      </c>
      <c r="FP19" s="126" t="str">
        <f>IFERROR(VLOOKUP(FP18,教师安排!$A:$Y,FP$2+1,FALSE),"")</f>
        <v>田凤美</v>
      </c>
      <c r="FQ19" s="126" t="str">
        <f>IFERROR(VLOOKUP(FQ18,教师安排!$A:$Y,FQ$2+1,FALSE),"")</f>
        <v>厉彦龙</v>
      </c>
      <c r="FR19" s="126" t="str">
        <f>IFERROR(VLOOKUP(FR18,教师安排!$A:$Y,FR$2+1,FALSE),"")</f>
        <v>李雯</v>
      </c>
      <c r="FS19" s="126" t="str">
        <f>IFERROR(VLOOKUP(FS18,教师安排!$A:$Y,FS$2+1,FALSE),"")</f>
        <v>李振铎</v>
      </c>
      <c r="FT19" s="126" t="str">
        <f>IFERROR(VLOOKUP(FT18,教师安排!$A:$Y,FT$2+1,FALSE),"")</f>
        <v>蒋心言</v>
      </c>
      <c r="FU19" s="126" t="str">
        <f>IFERROR(VLOOKUP(FU18,教师安排!$A:$Y,FU$2+1,FALSE),"")</f>
        <v>王雪莲</v>
      </c>
      <c r="FV19" s="126" t="str">
        <f>IFERROR(VLOOKUP(FV18,教师安排!$A:$Y,FV$2+1,FALSE),"")</f>
        <v>高文凤</v>
      </c>
      <c r="FW19" s="126" t="str">
        <f>IFERROR(VLOOKUP(FW18,教师安排!$A:$Y,FW$2+1,FALSE),"")</f>
        <v>张冰雪</v>
      </c>
      <c r="FX19" s="126" t="str">
        <f>IFERROR(VLOOKUP(FX18,教师安排!$A:$Y,FX$2+1,FALSE),"")</f>
        <v>孙娜</v>
      </c>
      <c r="FY19" s="126">
        <f>IFERROR(VLOOKUP(FY18,教师安排!$A:$Y,FY$2+1,FALSE),"")</f>
        <v>0</v>
      </c>
      <c r="FZ19" s="126" t="str">
        <f>IFERROR(VLOOKUP(FZ18,教师安排!$A:$Y,FZ$2+1,FALSE),"")</f>
        <v>韩丽梅</v>
      </c>
      <c r="GA19" s="126" t="str">
        <f>IFERROR(VLOOKUP(GA18,教师安排!$A:$Y,GA$2+1,FALSE),"")</f>
        <v>王菲</v>
      </c>
      <c r="GB19" s="126" t="str">
        <f>IFERROR(VLOOKUP(GB18,教师安排!$A:$Y,GB$2+1,FALSE),"")</f>
        <v>翟淑玮</v>
      </c>
      <c r="GC19" s="126" t="str">
        <f>IFERROR(VLOOKUP(GC18,教师安排!$A:$Y,GC$2+1,FALSE),"")</f>
        <v>张鑫</v>
      </c>
      <c r="GD19" s="126" t="str">
        <f>IFERROR(VLOOKUP(GD18,教师安排!$A:$Y,GD$2+1,FALSE),"")</f>
        <v/>
      </c>
      <c r="GE19" s="126" t="str">
        <f>IFERROR(VLOOKUP(GE18,教师安排!$A:$Y,GE$2+1,FALSE),"")</f>
        <v/>
      </c>
      <c r="GF19" s="126" t="str">
        <f>IFERROR(VLOOKUP(GF18,教师安排!$A:$Y,GF$2+1,FALSE),"")</f>
        <v/>
      </c>
      <c r="GG19" s="126" t="str">
        <f>IFERROR(VLOOKUP(GG18,教师安排!$A:$Y,GG$2+1,FALSE),"")</f>
        <v/>
      </c>
      <c r="GH19" s="126"/>
      <c r="GI19" s="126" t="str">
        <f>IFERROR(VLOOKUP(GI18,教师安排!$A:$Y,GI$2+1,FALSE),"")</f>
        <v/>
      </c>
      <c r="GJ19" s="126" t="str">
        <f>IFERROR(VLOOKUP(GJ18,教师安排!$A:$Y,GJ$2+1,FALSE),"")</f>
        <v/>
      </c>
      <c r="GK19" s="126" t="str">
        <f>IFERROR(VLOOKUP(GK18,教师安排!$A:$Y,GK$2+1,FALSE),"")</f>
        <v/>
      </c>
      <c r="GL19" s="126" t="str">
        <f>IFERROR(VLOOKUP(GL18,教师安排!$A:$Y,GL$2+1,FALSE),"")</f>
        <v/>
      </c>
      <c r="GM19" s="125" t="str">
        <f>IFERROR(VLOOKUP(GM18,教师安排!$A:$Y,GM$2+1,FALSE),"")</f>
        <v>周兴玲</v>
      </c>
      <c r="GN19" s="125" t="str">
        <f>IFERROR(VLOOKUP(GN18,教师安排!$A:$Y,GN$2+1,FALSE),"")</f>
        <v>李会玲</v>
      </c>
      <c r="GO19" s="125" t="str">
        <f>IFERROR(VLOOKUP(GO18,教师安排!$A:$Y,GO$2+1,FALSE),"")</f>
        <v>姚来朋</v>
      </c>
      <c r="GP19" s="125" t="str">
        <f>IFERROR(VLOOKUP(GP18,教师安排!$A:$Y,GP$2+1,FALSE),"")</f>
        <v>史振塞</v>
      </c>
      <c r="GQ19" s="125" t="str">
        <f>IFERROR(VLOOKUP(GQ18,教师安排!$A:$Y,GQ$2+1,FALSE),"")</f>
        <v>王灼</v>
      </c>
      <c r="GR19" s="125" t="str">
        <f>IFERROR(VLOOKUP(GR18,教师安排!$A:$Y,GR$2+1,FALSE),"")</f>
        <v>孙存义</v>
      </c>
      <c r="GS19" s="125" t="str">
        <f>IFERROR(VLOOKUP(GS18,教师安排!$A:$Y,GS$2+1,FALSE),"")</f>
        <v>孙显阳</v>
      </c>
      <c r="GT19" s="125" t="str">
        <f>IFERROR(VLOOKUP(GT18,教师安排!$A:$Y,GT$2+1,FALSE),"")</f>
        <v>宋平</v>
      </c>
      <c r="GU19" s="125" t="str">
        <f>IFERROR(VLOOKUP(GU18,教师安排!$A:$Y,GU$2+1,FALSE),"")</f>
        <v>刘腾</v>
      </c>
      <c r="GV19" s="125" t="str">
        <f>IFERROR(VLOOKUP(GV18,教师安排!$A:$Y,GV$2+1,FALSE),"")</f>
        <v>胡存想</v>
      </c>
      <c r="GW19" s="125">
        <f>IFERROR(VLOOKUP(GW18,教师安排!$A:$Y,GW$2+1,FALSE),"")</f>
        <v>0</v>
      </c>
      <c r="GX19" s="125" t="str">
        <f>IFERROR(VLOOKUP(GX18,教师安排!$A:$Y,GX$2+1,FALSE),"")</f>
        <v>王雪莲</v>
      </c>
      <c r="GY19" s="125" t="str">
        <f>IFERROR(VLOOKUP(GY18,教师安排!$A:$Y,GY$2+1,FALSE),"")</f>
        <v>李浩然</v>
      </c>
      <c r="GZ19" s="125" t="str">
        <f>IFERROR(VLOOKUP(GZ18,教师安排!$A:$Y,GZ$2+1,FALSE),"")</f>
        <v>孙锦锦</v>
      </c>
      <c r="HA19" s="125" t="str">
        <f>IFERROR(VLOOKUP(HA18,教师安排!$A:$Y,HA$2+1,FALSE),"")</f>
        <v>高文凤</v>
      </c>
      <c r="HB19" s="125" t="str">
        <f>IFERROR(VLOOKUP(HB18,教师安排!$A:$Y,HB$2+1,FALSE),"")</f>
        <v/>
      </c>
      <c r="HC19" s="125" t="str">
        <f>IFERROR(VLOOKUP(HC18,教师安排!$A:$Y,HC$2+1,FALSE),"")</f>
        <v/>
      </c>
      <c r="HD19" s="125" t="str">
        <f>IFERROR(VLOOKUP(HD18,教师安排!$A:$Y,HD$2+1,FALSE),"")</f>
        <v/>
      </c>
      <c r="HE19" s="125" t="str">
        <f>IFERROR(VLOOKUP(HE18,教师安排!$A:$Y,HE$2+1,FALSE),"")</f>
        <v/>
      </c>
      <c r="HF19" s="125"/>
      <c r="HG19" s="125" t="str">
        <f>IFERROR(VLOOKUP(HG18,教师安排!$A:$Y,HG$2+1,FALSE),"")</f>
        <v/>
      </c>
      <c r="HH19" s="125" t="str">
        <f>IFERROR(VLOOKUP(HH18,教师安排!$A:$Y,HH$2+1,FALSE),"")</f>
        <v/>
      </c>
      <c r="HI19" s="125" t="str">
        <f>IFERROR(VLOOKUP(HI18,教师安排!$A:$Y,HI$2+1,FALSE),"")</f>
        <v/>
      </c>
      <c r="HJ19" s="125" t="str">
        <f>IFERROR(VLOOKUP(HJ18,教师安排!$A:$Y,HJ$2+1,FALSE),"")</f>
        <v/>
      </c>
      <c r="HK19" s="126" t="str">
        <f>IFERROR(VLOOKUP(HK18,教师安排!$A:$Y,HK$2+1,FALSE),"")</f>
        <v>杨彬</v>
      </c>
      <c r="HL19" s="126" t="str">
        <f>IFERROR(VLOOKUP(HL18,教师安排!$A:$Y,HL$2+1,FALSE),"")</f>
        <v>宋开元</v>
      </c>
      <c r="HM19" s="126" t="str">
        <f>IFERROR(VLOOKUP(HM18,教师安排!$A:$Y,HM$2+1,FALSE),"")</f>
        <v>姚来朋</v>
      </c>
      <c r="HN19" s="126" t="str">
        <f>IFERROR(VLOOKUP(HN18,教师安排!$A:$Y,HN$2+1,FALSE),"")</f>
        <v>李雯</v>
      </c>
      <c r="HO19" s="126" t="str">
        <f>IFERROR(VLOOKUP(HO18,教师安排!$A:$Y,HO$2+1,FALSE),"")</f>
        <v>王灼</v>
      </c>
      <c r="HP19" s="126" t="str">
        <f>IFERROR(VLOOKUP(HP18,教师安排!$A:$Y,HP$2+1,FALSE),"")</f>
        <v>翟淑玮</v>
      </c>
      <c r="HQ19" s="126" t="str">
        <f>IFERROR(VLOOKUP(HQ18,教师安排!$A:$Y,HQ$2+1,FALSE),"")</f>
        <v>韩丽梅</v>
      </c>
      <c r="HR19" s="126" t="str">
        <f>IFERROR(VLOOKUP(HR18,教师安排!$A:$Y,HR$2+1,FALSE),"")</f>
        <v>孙显阳</v>
      </c>
      <c r="HS19" s="126" t="str">
        <f>IFERROR(VLOOKUP(HS18,教师安排!$A:$Y,HS$2+1,FALSE),"")</f>
        <v>刘腾</v>
      </c>
      <c r="HT19" s="126" t="str">
        <f>IFERROR(VLOOKUP(HT18,教师安排!$A:$Y,HT$2+1,FALSE),"")</f>
        <v>孙秋杰</v>
      </c>
      <c r="HU19" s="126">
        <f>IFERROR(VLOOKUP(HU18,教师安排!$A:$Y,HU$2+1,FALSE),"")</f>
        <v>0</v>
      </c>
      <c r="HV19" s="126" t="str">
        <f>IFERROR(VLOOKUP(HV18,教师安排!$A:$Y,HV$2+1,FALSE),"")</f>
        <v>王硕</v>
      </c>
      <c r="HW19" s="126" t="str">
        <f>IFERROR(VLOOKUP(HW18,教师安排!$A:$Y,HW$2+1,FALSE),"")</f>
        <v>李浩然</v>
      </c>
      <c r="HX19" s="126" t="str">
        <f>IFERROR(VLOOKUP(HX18,教师安排!$A:$Y,HX$2+1,FALSE),"")</f>
        <v>姜媛媛</v>
      </c>
      <c r="HY19" s="126" t="str">
        <f>IFERROR(VLOOKUP(HY18,教师安排!$A:$Y,HY$2+1,FALSE),"")</f>
        <v>夏文杰</v>
      </c>
      <c r="HZ19" s="126" t="str">
        <f>IFERROR(VLOOKUP(HZ18,教师安排!$A:$Y,HZ$2+1,FALSE),"")</f>
        <v/>
      </c>
      <c r="IA19" s="126" t="str">
        <f>IFERROR(VLOOKUP(IA18,教师安排!$A:$Y,IA$2+1,FALSE),"")</f>
        <v/>
      </c>
      <c r="IB19" s="126" t="str">
        <f>IFERROR(VLOOKUP(IB18,教师安排!$A:$Y,IB$2+1,FALSE),"")</f>
        <v/>
      </c>
      <c r="IC19" s="126" t="str">
        <f>IFERROR(VLOOKUP(IC18,教师安排!$A:$Y,IC$2+1,FALSE),"")</f>
        <v/>
      </c>
      <c r="ID19" s="126"/>
      <c r="IE19" s="126" t="str">
        <f>IFERROR(VLOOKUP(IE18,教师安排!$A:$Y,IE$2+1,FALSE),"")</f>
        <v/>
      </c>
      <c r="IF19" s="126" t="str">
        <f>IFERROR(VLOOKUP(IF18,教师安排!$A:$Y,IF$2+1,FALSE),"")</f>
        <v/>
      </c>
      <c r="IG19" s="126" t="str">
        <f>IFERROR(VLOOKUP(IG18,教师安排!$A:$Y,IG$2+1,FALSE),"")</f>
        <v/>
      </c>
      <c r="IH19" s="126" t="str">
        <f>IFERROR(VLOOKUP(IH18,教师安排!$A:$Y,IH$2+1,FALSE),"")</f>
        <v/>
      </c>
      <c r="II19" s="125" t="str">
        <f>IFERROR(VLOOKUP(II18,教师安排!$A:$Y,II$2+1,FALSE),"")</f>
        <v>侯淑贤</v>
      </c>
      <c r="IJ19" s="125" t="str">
        <f>IFERROR(VLOOKUP(IJ18,教师安排!$A:$Y,IJ$2+1,FALSE),"")</f>
        <v>李会玲</v>
      </c>
      <c r="IK19" s="125" t="str">
        <f>IFERROR(VLOOKUP(IK18,教师安排!$A:$Y,IK$2+1,FALSE),"")</f>
        <v>杨彬</v>
      </c>
      <c r="IL19" s="125" t="str">
        <f>IFERROR(VLOOKUP(IL18,教师安排!$A:$Y,IL$2+1,FALSE),"")</f>
        <v>史振塞</v>
      </c>
      <c r="IM19" s="125" t="str">
        <f>IFERROR(VLOOKUP(IM18,教师安排!$A:$Y,IM$2+1,FALSE),"")</f>
        <v>李振铎</v>
      </c>
      <c r="IN19" s="125" t="str">
        <f>IFERROR(VLOOKUP(IN18,教师安排!$A:$Y,IN$2+1,FALSE),"")</f>
        <v>蒋心言</v>
      </c>
      <c r="IO19" s="125" t="str">
        <f>IFERROR(VLOOKUP(IO18,教师安排!$A:$Y,IO$2+1,FALSE),"")</f>
        <v>马崇庆</v>
      </c>
      <c r="IP19" s="125" t="str">
        <f>IFERROR(VLOOKUP(IP18,教师安排!$A:$Y,IP$2+1,FALSE),"")</f>
        <v>孙显阳</v>
      </c>
      <c r="IQ19" s="125" t="str">
        <f>IFERROR(VLOOKUP(IQ18,教师安排!$A:$Y,IQ$2+1,FALSE),"")</f>
        <v>田凤美</v>
      </c>
      <c r="IR19" s="125" t="str">
        <f>IFERROR(VLOOKUP(IR18,教师安排!$A:$Y,IR$2+1,FALSE),"")</f>
        <v>董艳华</v>
      </c>
      <c r="IS19" s="125">
        <f>IFERROR(VLOOKUP(IS18,教师安排!$A:$Y,IS$2+1,FALSE),"")</f>
        <v>0</v>
      </c>
      <c r="IT19" s="125" t="str">
        <f>IFERROR(VLOOKUP(IT18,教师安排!$A:$Y,IT$2+1,FALSE),"")</f>
        <v>王雪莲</v>
      </c>
      <c r="IU19" s="125" t="str">
        <f>IFERROR(VLOOKUP(IU18,教师安排!$A:$Y,IU$2+1,FALSE),"")</f>
        <v>李浩然</v>
      </c>
      <c r="IV19" s="125" t="str">
        <f>IFERROR(VLOOKUP(IV18,教师安排!$A:$Y,IV$2+1,FALSE),"")</f>
        <v>孙锦锦</v>
      </c>
      <c r="IW19" s="125" t="str">
        <f>IFERROR(VLOOKUP(IW18,教师安排!$A:$Y,IW$2+1,FALSE),"")</f>
        <v>孙秋杰</v>
      </c>
      <c r="IX19" s="125" t="str">
        <f>IFERROR(VLOOKUP(IX18,教师安排!$A:$Y,IX$2+1,FALSE),"")</f>
        <v/>
      </c>
      <c r="IY19" s="125" t="str">
        <f>IFERROR(VLOOKUP(IY18,教师安排!$A:$Y,IY$2+1,FALSE),"")</f>
        <v/>
      </c>
      <c r="IZ19" s="125" t="str">
        <f>IFERROR(VLOOKUP(IZ18,教师安排!$A:$Y,IZ$2+1,FALSE),"")</f>
        <v/>
      </c>
      <c r="JA19" s="125" t="str">
        <f>IFERROR(VLOOKUP(JA18,教师安排!$A:$Y,JA$2+1,FALSE),"")</f>
        <v/>
      </c>
      <c r="JB19" s="125"/>
      <c r="JC19" s="125" t="str">
        <f>IFERROR(VLOOKUP(JC18,教师安排!$A:$Y,JC$2+1,FALSE),"")</f>
        <v/>
      </c>
      <c r="JD19" s="125" t="str">
        <f>IFERROR(VLOOKUP(JD18,教师安排!$A:$Y,JD$2+1,FALSE),"")</f>
        <v/>
      </c>
      <c r="JE19" s="125" t="str">
        <f>IFERROR(VLOOKUP(JE18,教师安排!$A:$Y,JE$2+1,FALSE),"")</f>
        <v/>
      </c>
      <c r="JF19" s="125" t="str">
        <f>IFERROR(VLOOKUP(JF18,教师安排!$A:$Y,JF$2+1,FALSE),"")</f>
        <v/>
      </c>
      <c r="JG19" s="126" t="str">
        <f>IFERROR(VLOOKUP(JG18,教师安排!$A:$Y,JG$2+1,FALSE),"")</f>
        <v>李会玲</v>
      </c>
      <c r="JH19" s="126" t="str">
        <f>IFERROR(VLOOKUP(JH18,教师安排!$A:$Y,JH$2+1,FALSE),"")</f>
        <v>岳/厉</v>
      </c>
      <c r="JI19" s="126" t="str">
        <f>IFERROR(VLOOKUP(JI18,教师安排!$A:$Y,JI$2+1,FALSE),"")</f>
        <v>岳/厉</v>
      </c>
      <c r="JJ19" s="126" t="str">
        <f>IFERROR(VLOOKUP(JJ18,教师安排!$A:$Y,JJ$2+1,FALSE),"")</f>
        <v>史振塞</v>
      </c>
      <c r="JK19" s="126" t="str">
        <f>IFERROR(VLOOKUP(JK18,教师安排!$A:$Y,JK$2+1,FALSE),"")</f>
        <v>孙显阳</v>
      </c>
      <c r="JL19" s="126" t="str">
        <f>IFERROR(VLOOKUP(JL18,教师安排!$A:$Y,JL$2+1,FALSE),"")</f>
        <v>张喆</v>
      </c>
      <c r="JM19" s="126" t="str">
        <f>IFERROR(VLOOKUP(JM18,教师安排!$A:$Y,JM$2+1,FALSE),"")</f>
        <v>孙存义</v>
      </c>
      <c r="JN19" s="126" t="str">
        <f>IFERROR(VLOOKUP(JN18,教师安排!$A:$Y,JN$2+1,FALSE),"")</f>
        <v>路睿</v>
      </c>
      <c r="JO19" s="126" t="str">
        <f>IFERROR(VLOOKUP(JO18,教师安排!$A:$Y,JO$2+1,FALSE),"")</f>
        <v>田凤美</v>
      </c>
      <c r="JP19" s="126" t="str">
        <f>IFERROR(VLOOKUP(JP18,教师安排!$A:$Y,JP$2+1,FALSE),"")</f>
        <v>孙秋杰</v>
      </c>
      <c r="JQ19" s="126">
        <f>IFERROR(VLOOKUP(JQ18,教师安排!$A:$Y,JQ$2+1,FALSE),"")</f>
        <v>0</v>
      </c>
      <c r="JR19" s="126" t="str">
        <f>IFERROR(VLOOKUP(JR18,教师安排!$A:$Y,JR$2+1,FALSE),"")</f>
        <v>王雪莲</v>
      </c>
      <c r="JS19" s="126" t="str">
        <f>IFERROR(VLOOKUP(JS18,教师安排!$A:$Y,JS$2+1,FALSE),"")</f>
        <v>范林林</v>
      </c>
      <c r="JT19" s="126" t="str">
        <f>IFERROR(VLOOKUP(JT18,教师安排!$A:$Y,JT$2+1,FALSE),"")</f>
        <v>董艳华</v>
      </c>
      <c r="JU19" s="126" t="str">
        <f>IFERROR(VLOOKUP(JU18,教师安排!$A:$Y,JU$2+1,FALSE),"")</f>
        <v>张鑫</v>
      </c>
      <c r="JV19" s="126" t="str">
        <f>IFERROR(VLOOKUP(JV18,教师安排!$A:$Y,JV$2+1,FALSE),"")</f>
        <v/>
      </c>
      <c r="JW19" s="126" t="str">
        <f>IFERROR(VLOOKUP(JW18,教师安排!$A:$Y,JW$2+1,FALSE),"")</f>
        <v>岳海霞</v>
      </c>
      <c r="JX19" s="126" t="str">
        <f>IFERROR(VLOOKUP(JX18,教师安排!$A:$Y,JX$2+1,FALSE),"")</f>
        <v/>
      </c>
      <c r="JY19" s="126" t="str">
        <f>IFERROR(VLOOKUP(JY18,教师安排!$A:$Y,JY$2+1,FALSE),"")</f>
        <v>厉彦龙</v>
      </c>
      <c r="JZ19" s="126"/>
      <c r="KA19" s="126" t="str">
        <f>IFERROR(VLOOKUP(KA18,教师安排!$A:$Y,KA$2+1,FALSE),"")</f>
        <v/>
      </c>
      <c r="KB19" s="126" t="str">
        <f>IFERROR(VLOOKUP(KB18,教师安排!$A:$Y,KB$2+1,FALSE),"")</f>
        <v/>
      </c>
      <c r="KC19" s="126" t="str">
        <f>IFERROR(VLOOKUP(KC18,教师安排!$A:$Y,KC$2+1,FALSE),"")</f>
        <v/>
      </c>
      <c r="KD19" s="126" t="str">
        <f>IFERROR(VLOOKUP(KD18,教师安排!$A:$Y,KD$2+1,FALSE),"")</f>
        <v/>
      </c>
    </row>
    <row r="20" spans="1:290" s="116" customFormat="1" ht="18" hidden="1" customHeight="1" x14ac:dyDescent="0.4">
      <c r="A20" s="145" t="s">
        <v>162</v>
      </c>
      <c r="B20" s="143" t="s">
        <v>163</v>
      </c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2"/>
      <c r="DT20" s="122"/>
      <c r="DU20" s="122"/>
      <c r="DV20" s="122"/>
      <c r="DW20" s="122"/>
      <c r="DX20" s="122"/>
      <c r="DY20" s="122"/>
      <c r="DZ20" s="122"/>
      <c r="EA20" s="122"/>
      <c r="EB20" s="122"/>
      <c r="EC20" s="122"/>
      <c r="ED20" s="122"/>
      <c r="EE20" s="122"/>
      <c r="EF20" s="122"/>
      <c r="EG20" s="122"/>
      <c r="EH20" s="122"/>
      <c r="EI20" s="122"/>
      <c r="EJ20" s="122"/>
      <c r="EK20" s="122"/>
      <c r="EL20" s="122"/>
      <c r="EM20" s="122"/>
      <c r="EN20" s="122"/>
      <c r="EO20" s="122"/>
      <c r="EP20" s="122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2"/>
      <c r="FP20" s="122"/>
      <c r="FQ20" s="122"/>
      <c r="FR20" s="122"/>
      <c r="FS20" s="122"/>
      <c r="FT20" s="122"/>
      <c r="FU20" s="122"/>
      <c r="FV20" s="122"/>
      <c r="FW20" s="122"/>
      <c r="FX20" s="122"/>
      <c r="FY20" s="122"/>
      <c r="FZ20" s="122"/>
      <c r="GA20" s="122"/>
      <c r="GB20" s="122"/>
      <c r="GC20" s="122"/>
      <c r="GD20" s="122"/>
      <c r="GE20" s="122"/>
      <c r="GF20" s="122"/>
      <c r="GG20" s="122"/>
      <c r="GH20" s="122"/>
      <c r="GI20" s="122"/>
      <c r="GJ20" s="122"/>
      <c r="GK20" s="122"/>
      <c r="GL20" s="122"/>
      <c r="GM20" s="121"/>
      <c r="GN20" s="121"/>
      <c r="GO20" s="121"/>
      <c r="GP20" s="121"/>
      <c r="GQ20" s="121"/>
      <c r="GR20" s="121"/>
      <c r="GS20" s="121"/>
      <c r="GT20" s="121"/>
      <c r="GU20" s="121"/>
      <c r="GV20" s="121"/>
      <c r="GW20" s="121"/>
      <c r="GX20" s="121"/>
      <c r="GY20" s="121"/>
      <c r="GZ20" s="121"/>
      <c r="HA20" s="121"/>
      <c r="HB20" s="121"/>
      <c r="HC20" s="121"/>
      <c r="HD20" s="121"/>
      <c r="HE20" s="121"/>
      <c r="HF20" s="121"/>
      <c r="HG20" s="121"/>
      <c r="HH20" s="121"/>
      <c r="HI20" s="121"/>
      <c r="HJ20" s="121"/>
      <c r="HK20" s="122"/>
      <c r="HL20" s="122"/>
      <c r="HM20" s="122"/>
      <c r="HN20" s="122"/>
      <c r="HO20" s="122"/>
      <c r="HP20" s="122"/>
      <c r="HQ20" s="122"/>
      <c r="HR20" s="122"/>
      <c r="HS20" s="122"/>
      <c r="HT20" s="122"/>
      <c r="HU20" s="122"/>
      <c r="HV20" s="122"/>
      <c r="HW20" s="122"/>
      <c r="HX20" s="122"/>
      <c r="HY20" s="122"/>
      <c r="HZ20" s="122"/>
      <c r="IA20" s="122"/>
      <c r="IB20" s="122"/>
      <c r="IC20" s="122"/>
      <c r="ID20" s="122"/>
      <c r="IE20" s="122"/>
      <c r="IF20" s="122"/>
      <c r="IG20" s="122"/>
      <c r="IH20" s="122"/>
      <c r="II20" s="121"/>
      <c r="IJ20" s="121"/>
      <c r="IK20" s="121"/>
      <c r="IL20" s="121"/>
      <c r="IM20" s="121"/>
      <c r="IN20" s="121"/>
      <c r="IO20" s="121"/>
      <c r="IP20" s="121"/>
      <c r="IQ20" s="121"/>
      <c r="IR20" s="121"/>
      <c r="IS20" s="121"/>
      <c r="IT20" s="121"/>
      <c r="IU20" s="121"/>
      <c r="IV20" s="121"/>
      <c r="IW20" s="121"/>
      <c r="IX20" s="121"/>
      <c r="IY20" s="121"/>
      <c r="IZ20" s="121"/>
      <c r="JA20" s="121"/>
      <c r="JB20" s="121"/>
      <c r="JC20" s="121"/>
      <c r="JD20" s="121"/>
      <c r="JE20" s="121"/>
      <c r="JF20" s="121"/>
      <c r="JG20" s="122"/>
      <c r="JH20" s="122"/>
      <c r="JI20" s="122"/>
      <c r="JJ20" s="122"/>
      <c r="JK20" s="122"/>
      <c r="JL20" s="122"/>
      <c r="JM20" s="122"/>
      <c r="JN20" s="122"/>
      <c r="JO20" s="122"/>
      <c r="JP20" s="122"/>
      <c r="JQ20" s="122"/>
      <c r="JR20" s="122"/>
      <c r="JS20" s="122"/>
      <c r="JT20" s="122"/>
      <c r="JU20" s="122"/>
      <c r="JV20" s="122"/>
      <c r="JW20" s="122"/>
      <c r="JX20" s="122"/>
      <c r="JY20" s="122"/>
      <c r="JZ20" s="122"/>
      <c r="KA20" s="122"/>
      <c r="KB20" s="122"/>
      <c r="KC20" s="122"/>
      <c r="KD20" s="122"/>
    </row>
    <row r="21" spans="1:290" s="117" customFormat="1" ht="18" hidden="1" customHeight="1" x14ac:dyDescent="0.4">
      <c r="A21" s="145"/>
      <c r="B21" s="143"/>
      <c r="C21" s="125" t="str">
        <f>IFERROR(VLOOKUP(C20,教师安排!$A:$Y,C$2+1,FALSE),"")</f>
        <v/>
      </c>
      <c r="D21" s="125" t="str">
        <f>IFERROR(VLOOKUP(D20,教师安排!$A:$Y,D$2+1,FALSE),"")</f>
        <v/>
      </c>
      <c r="E21" s="125" t="str">
        <f>IFERROR(VLOOKUP(E20,教师安排!$A:$Y,E$2+1,FALSE),"")</f>
        <v/>
      </c>
      <c r="F21" s="125" t="str">
        <f>IFERROR(VLOOKUP(F20,教师安排!$A:$Y,F$2+1,FALSE),"")</f>
        <v/>
      </c>
      <c r="G21" s="125" t="str">
        <f>IFERROR(VLOOKUP(G20,教师安排!$A:$Y,G$2+1,FALSE),"")</f>
        <v/>
      </c>
      <c r="H21" s="125" t="str">
        <f>IFERROR(VLOOKUP(H20,教师安排!$A:$Y,H$2+1,FALSE),"")</f>
        <v/>
      </c>
      <c r="I21" s="125" t="str">
        <f>IFERROR(VLOOKUP(I20,教师安排!$A:$Y,I$2+1,FALSE),"")</f>
        <v/>
      </c>
      <c r="J21" s="125" t="str">
        <f>IFERROR(VLOOKUP(J20,教师安排!$A:$Y,J$2+1,FALSE),"")</f>
        <v/>
      </c>
      <c r="K21" s="125" t="str">
        <f>IFERROR(VLOOKUP(K20,教师安排!$A:$Y,K$2+1,FALSE),"")</f>
        <v/>
      </c>
      <c r="L21" s="125" t="str">
        <f>IFERROR(VLOOKUP(L20,教师安排!$A:$Y,L$2+1,FALSE),"")</f>
        <v/>
      </c>
      <c r="M21" s="125" t="str">
        <f>IFERROR(VLOOKUP(M20,教师安排!$A:$Y,M$2+1,FALSE),"")</f>
        <v/>
      </c>
      <c r="N21" s="125" t="str">
        <f>IFERROR(VLOOKUP(N20,教师安排!$A:$Y,N$2+1,FALSE),"")</f>
        <v/>
      </c>
      <c r="O21" s="125" t="str">
        <f>IFERROR(VLOOKUP(O20,教师安排!$A:$Y,O$2+1,FALSE),"")</f>
        <v/>
      </c>
      <c r="P21" s="125" t="str">
        <f>IFERROR(VLOOKUP(P20,教师安排!$A:$Y,P$2+1,FALSE),"")</f>
        <v/>
      </c>
      <c r="Q21" s="125" t="str">
        <f>IFERROR(VLOOKUP(Q20,教师安排!$A:$Y,Q$2+1,FALSE),"")</f>
        <v/>
      </c>
      <c r="R21" s="125"/>
      <c r="S21" s="125"/>
      <c r="T21" s="125"/>
      <c r="U21" s="125"/>
      <c r="V21" s="125"/>
      <c r="W21" s="125"/>
      <c r="X21" s="125"/>
      <c r="Y21" s="125"/>
      <c r="Z21" s="125"/>
      <c r="AA21" s="126" t="str">
        <f>IFERROR(VLOOKUP(AA20,教师安排!$A:$Y,AA$2+1,FALSE),"")</f>
        <v/>
      </c>
      <c r="AB21" s="126" t="str">
        <f>IFERROR(VLOOKUP(AB20,教师安排!$A:$Y,AB$2+1,FALSE),"")</f>
        <v/>
      </c>
      <c r="AC21" s="126" t="str">
        <f>IFERROR(VLOOKUP(AC20,教师安排!$A:$Y,AC$2+1,FALSE),"")</f>
        <v/>
      </c>
      <c r="AD21" s="126" t="str">
        <f>IFERROR(VLOOKUP(AD20,教师安排!$A:$Y,AD$2+1,FALSE),"")</f>
        <v/>
      </c>
      <c r="AE21" s="126" t="str">
        <f>IFERROR(VLOOKUP(AE20,教师安排!$A:$Y,AE$2+1,FALSE),"")</f>
        <v/>
      </c>
      <c r="AF21" s="126" t="str">
        <f>IFERROR(VLOOKUP(AF20,教师安排!$A:$Y,AF$2+1,FALSE),"")</f>
        <v/>
      </c>
      <c r="AG21" s="126" t="str">
        <f>IFERROR(VLOOKUP(AG20,教师安排!$A:$Y,AG$2+1,FALSE),"")</f>
        <v/>
      </c>
      <c r="AH21" s="126" t="str">
        <f>IFERROR(VLOOKUP(AH20,教师安排!$A:$Y,AH$2+1,FALSE),"")</f>
        <v/>
      </c>
      <c r="AI21" s="126" t="str">
        <f>IFERROR(VLOOKUP(AI20,教师安排!$A:$Y,AI$2+1,FALSE),"")</f>
        <v/>
      </c>
      <c r="AJ21" s="126" t="str">
        <f>IFERROR(VLOOKUP(AJ20,教师安排!$A:$Y,AJ$2+1,FALSE),"")</f>
        <v/>
      </c>
      <c r="AK21" s="126" t="str">
        <f>IFERROR(VLOOKUP(AK20,教师安排!$A:$Y,AK$2+1,FALSE),"")</f>
        <v/>
      </c>
      <c r="AL21" s="126" t="str">
        <f>IFERROR(VLOOKUP(AL20,教师安排!$A:$Y,AL$2+1,FALSE),"")</f>
        <v/>
      </c>
      <c r="AM21" s="126" t="str">
        <f>IFERROR(VLOOKUP(AM20,教师安排!$A:$Y,AM$2+1,FALSE),"")</f>
        <v/>
      </c>
      <c r="AN21" s="126" t="str">
        <f>IFERROR(VLOOKUP(AN20,教师安排!$A:$Y,AN$2+1,FALSE),"")</f>
        <v/>
      </c>
      <c r="AO21" s="126" t="str">
        <f>IFERROR(VLOOKUP(AO20,教师安排!$A:$Y,AO$2+1,FALSE),"")</f>
        <v/>
      </c>
      <c r="AP21" s="126"/>
      <c r="AQ21" s="126"/>
      <c r="AR21" s="126"/>
      <c r="AS21" s="126"/>
      <c r="AT21" s="126"/>
      <c r="AU21" s="126"/>
      <c r="AV21" s="126"/>
      <c r="AW21" s="126"/>
      <c r="AX21" s="126"/>
      <c r="AY21" s="125" t="str">
        <f>IFERROR(VLOOKUP(AY20,教师安排!$A:$Y,AY$2+1,FALSE),"")</f>
        <v/>
      </c>
      <c r="AZ21" s="125" t="str">
        <f>IFERROR(VLOOKUP(AZ20,教师安排!$A:$Y,AZ$2+1,FALSE),"")</f>
        <v/>
      </c>
      <c r="BA21" s="125" t="str">
        <f>IFERROR(VLOOKUP(BA20,教师安排!$A:$Y,BA$2+1,FALSE),"")</f>
        <v/>
      </c>
      <c r="BB21" s="125" t="str">
        <f>IFERROR(VLOOKUP(BB20,教师安排!$A:$Y,BB$2+1,FALSE),"")</f>
        <v/>
      </c>
      <c r="BC21" s="125" t="str">
        <f>IFERROR(VLOOKUP(BC20,教师安排!$A:$Y,BC$2+1,FALSE),"")</f>
        <v/>
      </c>
      <c r="BD21" s="125" t="str">
        <f>IFERROR(VLOOKUP(BD20,教师安排!$A:$Y,BD$2+1,FALSE),"")</f>
        <v/>
      </c>
      <c r="BE21" s="125" t="str">
        <f>IFERROR(VLOOKUP(BE20,教师安排!$A:$Y,BE$2+1,FALSE),"")</f>
        <v/>
      </c>
      <c r="BF21" s="125" t="str">
        <f>IFERROR(VLOOKUP(BF20,教师安排!$A:$Y,BF$2+1,FALSE),"")</f>
        <v/>
      </c>
      <c r="BG21" s="125" t="str">
        <f>IFERROR(VLOOKUP(BG20,教师安排!$A:$Y,BG$2+1,FALSE),"")</f>
        <v/>
      </c>
      <c r="BH21" s="125" t="str">
        <f>IFERROR(VLOOKUP(BH20,教师安排!$A:$Y,BH$2+1,FALSE),"")</f>
        <v/>
      </c>
      <c r="BI21" s="125" t="str">
        <f>IFERROR(VLOOKUP(BI20,教师安排!$A:$Y,BI$2+1,FALSE),"")</f>
        <v/>
      </c>
      <c r="BJ21" s="125" t="str">
        <f>IFERROR(VLOOKUP(BJ20,教师安排!$A:$Y,BJ$2+1,FALSE),"")</f>
        <v/>
      </c>
      <c r="BK21" s="125" t="str">
        <f>IFERROR(VLOOKUP(BK20,教师安排!$A:$Y,BK$2+1,FALSE),"")</f>
        <v/>
      </c>
      <c r="BL21" s="125" t="str">
        <f>IFERROR(VLOOKUP(BL20,教师安排!$A:$Y,BL$2+1,FALSE),"")</f>
        <v/>
      </c>
      <c r="BM21" s="125" t="str">
        <f>IFERROR(VLOOKUP(BM20,教师安排!$A:$Y,BM$2+1,FALSE),"")</f>
        <v/>
      </c>
      <c r="BN21" s="125"/>
      <c r="BO21" s="125"/>
      <c r="BP21" s="125"/>
      <c r="BQ21" s="125"/>
      <c r="BR21" s="125"/>
      <c r="BS21" s="125"/>
      <c r="BT21" s="125"/>
      <c r="BU21" s="125"/>
      <c r="BV21" s="125"/>
      <c r="BW21" s="126" t="str">
        <f>IFERROR(VLOOKUP(BW20,教师安排!$A:$Y,BW$2+1,FALSE),"")</f>
        <v/>
      </c>
      <c r="BX21" s="126" t="str">
        <f>IFERROR(VLOOKUP(BX20,教师安排!$A:$Y,BX$2+1,FALSE),"")</f>
        <v/>
      </c>
      <c r="BY21" s="126" t="str">
        <f>IFERROR(VLOOKUP(BY20,教师安排!$A:$Y,BY$2+1,FALSE),"")</f>
        <v/>
      </c>
      <c r="BZ21" s="126" t="str">
        <f>IFERROR(VLOOKUP(BZ20,教师安排!$A:$Y,BZ$2+1,FALSE),"")</f>
        <v/>
      </c>
      <c r="CA21" s="126" t="str">
        <f>IFERROR(VLOOKUP(CA20,教师安排!$A:$Y,CA$2+1,FALSE),"")</f>
        <v/>
      </c>
      <c r="CB21" s="126" t="str">
        <f>IFERROR(VLOOKUP(CB20,教师安排!$A:$Y,CB$2+1,FALSE),"")</f>
        <v/>
      </c>
      <c r="CC21" s="126" t="str">
        <f>IFERROR(VLOOKUP(CC20,教师安排!$A:$Y,CC$2+1,FALSE),"")</f>
        <v/>
      </c>
      <c r="CD21" s="126" t="str">
        <f>IFERROR(VLOOKUP(CD20,教师安排!$A:$Y,CD$2+1,FALSE),"")</f>
        <v/>
      </c>
      <c r="CE21" s="126" t="str">
        <f>IFERROR(VLOOKUP(CE20,教师安排!$A:$Y,CE$2+1,FALSE),"")</f>
        <v/>
      </c>
      <c r="CF21" s="126" t="str">
        <f>IFERROR(VLOOKUP(CF20,教师安排!$A:$Y,CF$2+1,FALSE),"")</f>
        <v/>
      </c>
      <c r="CG21" s="126" t="str">
        <f>IFERROR(VLOOKUP(CG20,教师安排!$A:$Y,CG$2+1,FALSE),"")</f>
        <v/>
      </c>
      <c r="CH21" s="126" t="str">
        <f>IFERROR(VLOOKUP(CH20,教师安排!$A:$Y,CH$2+1,FALSE),"")</f>
        <v/>
      </c>
      <c r="CI21" s="126" t="str">
        <f>IFERROR(VLOOKUP(CI20,教师安排!$A:$Y,CI$2+1,FALSE),"")</f>
        <v/>
      </c>
      <c r="CJ21" s="126" t="str">
        <f>IFERROR(VLOOKUP(CJ20,教师安排!$A:$Y,CJ$2+1,FALSE),"")</f>
        <v/>
      </c>
      <c r="CK21" s="126" t="str">
        <f>IFERROR(VLOOKUP(CK20,教师安排!$A:$Y,CK$2+1,FALSE),"")</f>
        <v/>
      </c>
      <c r="CL21" s="126"/>
      <c r="CM21" s="126"/>
      <c r="CN21" s="126"/>
      <c r="CO21" s="126"/>
      <c r="CP21" s="126"/>
      <c r="CQ21" s="126"/>
      <c r="CR21" s="126"/>
      <c r="CS21" s="126"/>
      <c r="CT21" s="126"/>
      <c r="CU21" s="125" t="str">
        <f>IFERROR(VLOOKUP(CU20,教师安排!$A:$Y,CU$2+1,FALSE),"")</f>
        <v/>
      </c>
      <c r="CV21" s="125" t="str">
        <f>IFERROR(VLOOKUP(CV20,教师安排!$A:$Y,CV$2+1,FALSE),"")</f>
        <v/>
      </c>
      <c r="CW21" s="125" t="str">
        <f>IFERROR(VLOOKUP(CW20,教师安排!$A:$Y,CW$2+1,FALSE),"")</f>
        <v/>
      </c>
      <c r="CX21" s="125" t="str">
        <f>IFERROR(VLOOKUP(CX20,教师安排!$A:$Y,CX$2+1,FALSE),"")</f>
        <v/>
      </c>
      <c r="CY21" s="125" t="str">
        <f>IFERROR(VLOOKUP(CY20,教师安排!$A:$Y,CY$2+1,FALSE),"")</f>
        <v/>
      </c>
      <c r="CZ21" s="125" t="str">
        <f>IFERROR(VLOOKUP(CZ20,教师安排!$A:$Y,CZ$2+1,FALSE),"")</f>
        <v/>
      </c>
      <c r="DA21" s="125" t="str">
        <f>IFERROR(VLOOKUP(DA20,教师安排!$A:$Y,DA$2+1,FALSE),"")</f>
        <v/>
      </c>
      <c r="DB21" s="125" t="str">
        <f>IFERROR(VLOOKUP(DB20,教师安排!$A:$Y,DB$2+1,FALSE),"")</f>
        <v/>
      </c>
      <c r="DC21" s="125" t="str">
        <f>IFERROR(VLOOKUP(DC20,教师安排!$A:$Y,DC$2+1,FALSE),"")</f>
        <v/>
      </c>
      <c r="DD21" s="125" t="str">
        <f>IFERROR(VLOOKUP(DD20,教师安排!$A:$Y,DD$2+1,FALSE),"")</f>
        <v/>
      </c>
      <c r="DE21" s="125" t="str">
        <f>IFERROR(VLOOKUP(DE20,教师安排!$A:$Y,DE$2+1,FALSE),"")</f>
        <v/>
      </c>
      <c r="DF21" s="125" t="str">
        <f>IFERROR(VLOOKUP(DF20,教师安排!$A:$Y,DF$2+1,FALSE),"")</f>
        <v/>
      </c>
      <c r="DG21" s="125" t="str">
        <f>IFERROR(VLOOKUP(DG20,教师安排!$A:$Y,DG$2+1,FALSE),"")</f>
        <v/>
      </c>
      <c r="DH21" s="125" t="str">
        <f>IFERROR(VLOOKUP(DH20,教师安排!$A:$Y,DH$2+1,FALSE),"")</f>
        <v/>
      </c>
      <c r="DI21" s="125" t="str">
        <f>IFERROR(VLOOKUP(DI20,教师安排!$A:$Y,DI$2+1,FALSE),"")</f>
        <v/>
      </c>
      <c r="DJ21" s="123"/>
      <c r="DK21" s="123"/>
      <c r="DL21" s="123"/>
      <c r="DM21" s="123"/>
      <c r="DN21" s="123"/>
      <c r="DO21" s="123"/>
      <c r="DP21" s="123"/>
      <c r="DQ21" s="123"/>
      <c r="DR21" s="123"/>
      <c r="DS21" s="124" t="str">
        <f>IFERROR(VLOOKUP(DS20,教师安排!$A:$Y,DS$2+1,FALSE),"")</f>
        <v/>
      </c>
      <c r="DT21" s="124" t="str">
        <f>IFERROR(VLOOKUP(DT20,教师安排!$A:$Y,DT$2+1,FALSE),"")</f>
        <v/>
      </c>
      <c r="DU21" s="124" t="str">
        <f>IFERROR(VLOOKUP(DU20,教师安排!$A:$Y,DU$2+1,FALSE),"")</f>
        <v/>
      </c>
      <c r="DV21" s="124" t="str">
        <f>IFERROR(VLOOKUP(DV20,教师安排!$A:$Y,DV$2+1,FALSE),"")</f>
        <v/>
      </c>
      <c r="DW21" s="124" t="str">
        <f>IFERROR(VLOOKUP(DW20,教师安排!$A:$Y,DW$2+1,FALSE),"")</f>
        <v/>
      </c>
      <c r="DX21" s="124" t="str">
        <f>IFERROR(VLOOKUP(DX20,教师安排!$A:$Y,DX$2+1,FALSE),"")</f>
        <v/>
      </c>
      <c r="DY21" s="124" t="str">
        <f>IFERROR(VLOOKUP(DY20,教师安排!$A:$Y,DY$2+1,FALSE),"")</f>
        <v/>
      </c>
      <c r="DZ21" s="124" t="str">
        <f>IFERROR(VLOOKUP(DZ20,教师安排!$A:$Y,DZ$2+1,FALSE),"")</f>
        <v/>
      </c>
      <c r="EA21" s="124" t="str">
        <f>IFERROR(VLOOKUP(EA20,教师安排!$A:$Y,EA$2+1,FALSE),"")</f>
        <v/>
      </c>
      <c r="EB21" s="124" t="str">
        <f>IFERROR(VLOOKUP(EB20,教师安排!$A:$Y,EB$2+1,FALSE),"")</f>
        <v/>
      </c>
      <c r="EC21" s="124" t="str">
        <f>IFERROR(VLOOKUP(EC20,教师安排!$A:$Y,EC$2+1,FALSE),"")</f>
        <v/>
      </c>
      <c r="ED21" s="124" t="str">
        <f>IFERROR(VLOOKUP(ED20,教师安排!$A:$Y,ED$2+1,FALSE),"")</f>
        <v/>
      </c>
      <c r="EE21" s="124" t="str">
        <f>IFERROR(VLOOKUP(EE20,教师安排!$A:$Y,EE$2+1,FALSE),"")</f>
        <v/>
      </c>
      <c r="EF21" s="124" t="str">
        <f>IFERROR(VLOOKUP(EF20,教师安排!$A:$Y,EF$2+1,FALSE),"")</f>
        <v/>
      </c>
      <c r="EG21" s="124" t="str">
        <f>IFERROR(VLOOKUP(EG20,教师安排!$A:$Y,EG$2+1,FALSE),"")</f>
        <v/>
      </c>
      <c r="EH21" s="124"/>
      <c r="EI21" s="124"/>
      <c r="EJ21" s="124"/>
      <c r="EK21" s="124"/>
      <c r="EL21" s="124"/>
      <c r="EM21" s="124"/>
      <c r="EN21" s="124"/>
      <c r="EO21" s="124"/>
      <c r="EP21" s="124"/>
      <c r="EQ21" s="123" t="str">
        <f>IFERROR(VLOOKUP(EQ20,教师安排!$A:$Y,EQ$2+1,FALSE),"")</f>
        <v/>
      </c>
      <c r="ER21" s="123" t="str">
        <f>IFERROR(VLOOKUP(ER20,教师安排!$A:$Y,ER$2+1,FALSE),"")</f>
        <v/>
      </c>
      <c r="ES21" s="123" t="str">
        <f>IFERROR(VLOOKUP(ES20,教师安排!$A:$Y,ES$2+1,FALSE),"")</f>
        <v/>
      </c>
      <c r="ET21" s="123" t="str">
        <f>IFERROR(VLOOKUP(ET20,教师安排!$A:$Y,ET$2+1,FALSE),"")</f>
        <v/>
      </c>
      <c r="EU21" s="123" t="str">
        <f>IFERROR(VLOOKUP(EU20,教师安排!$A:$Y,EU$2+1,FALSE),"")</f>
        <v/>
      </c>
      <c r="EV21" s="123" t="str">
        <f>IFERROR(VLOOKUP(EV20,教师安排!$A:$Y,EV$2+1,FALSE),"")</f>
        <v/>
      </c>
      <c r="EW21" s="123" t="str">
        <f>IFERROR(VLOOKUP(EW20,教师安排!$A:$Y,EW$2+1,FALSE),"")</f>
        <v/>
      </c>
      <c r="EX21" s="123" t="str">
        <f>IFERROR(VLOOKUP(EX20,教师安排!$A:$Y,EX$2+1,FALSE),"")</f>
        <v/>
      </c>
      <c r="EY21" s="123" t="str">
        <f>IFERROR(VLOOKUP(EY20,教师安排!$A:$Y,EY$2+1,FALSE),"")</f>
        <v/>
      </c>
      <c r="EZ21" s="123" t="str">
        <f>IFERROR(VLOOKUP(EZ20,教师安排!$A:$Y,EZ$2+1,FALSE),"")</f>
        <v/>
      </c>
      <c r="FA21" s="123" t="str">
        <f>IFERROR(VLOOKUP(FA20,教师安排!$A:$Y,FA$2+1,FALSE),"")</f>
        <v/>
      </c>
      <c r="FB21" s="123" t="str">
        <f>IFERROR(VLOOKUP(FB20,教师安排!$A:$Y,FB$2+1,FALSE),"")</f>
        <v/>
      </c>
      <c r="FC21" s="123" t="str">
        <f>IFERROR(VLOOKUP(FC20,教师安排!$A:$Y,FC$2+1,FALSE),"")</f>
        <v/>
      </c>
      <c r="FD21" s="123" t="str">
        <f>IFERROR(VLOOKUP(FD20,教师安排!$A:$Y,FD$2+1,FALSE),"")</f>
        <v/>
      </c>
      <c r="FE21" s="123" t="str">
        <f>IFERROR(VLOOKUP(FE20,教师安排!$A:$Y,FE$2+1,FALSE),"")</f>
        <v/>
      </c>
      <c r="FF21" s="125"/>
      <c r="FG21" s="125"/>
      <c r="FH21" s="125"/>
      <c r="FI21" s="125"/>
      <c r="FJ21" s="125"/>
      <c r="FK21" s="125"/>
      <c r="FL21" s="125"/>
      <c r="FM21" s="125"/>
      <c r="FN21" s="125"/>
      <c r="FO21" s="126" t="str">
        <f>IFERROR(VLOOKUP(FO20,教师安排!$A:$Y,FO$2+1,FALSE),"")</f>
        <v/>
      </c>
      <c r="FP21" s="126" t="str">
        <f>IFERROR(VLOOKUP(FP20,教师安排!$A:$Y,FP$2+1,FALSE),"")</f>
        <v/>
      </c>
      <c r="FQ21" s="126" t="str">
        <f>IFERROR(VLOOKUP(FQ20,教师安排!$A:$Y,FQ$2+1,FALSE),"")</f>
        <v/>
      </c>
      <c r="FR21" s="126" t="str">
        <f>IFERROR(VLOOKUP(FR20,教师安排!$A:$Y,FR$2+1,FALSE),"")</f>
        <v/>
      </c>
      <c r="FS21" s="126" t="str">
        <f>IFERROR(VLOOKUP(FS20,教师安排!$A:$Y,FS$2+1,FALSE),"")</f>
        <v/>
      </c>
      <c r="FT21" s="126" t="str">
        <f>IFERROR(VLOOKUP(FT20,教师安排!$A:$Y,FT$2+1,FALSE),"")</f>
        <v/>
      </c>
      <c r="FU21" s="126" t="str">
        <f>IFERROR(VLOOKUP(FU20,教师安排!$A:$Y,FU$2+1,FALSE),"")</f>
        <v/>
      </c>
      <c r="FV21" s="126" t="str">
        <f>IFERROR(VLOOKUP(FV20,教师安排!$A:$Y,FV$2+1,FALSE),"")</f>
        <v/>
      </c>
      <c r="FW21" s="126" t="str">
        <f>IFERROR(VLOOKUP(FW20,教师安排!$A:$Y,FW$2+1,FALSE),"")</f>
        <v/>
      </c>
      <c r="FX21" s="126" t="str">
        <f>IFERROR(VLOOKUP(FX20,教师安排!$A:$Y,FX$2+1,FALSE),"")</f>
        <v/>
      </c>
      <c r="FY21" s="126" t="str">
        <f>IFERROR(VLOOKUP(FY20,教师安排!$A:$Y,FY$2+1,FALSE),"")</f>
        <v/>
      </c>
      <c r="FZ21" s="126" t="str">
        <f>IFERROR(VLOOKUP(FZ20,教师安排!$A:$Y,FZ$2+1,FALSE),"")</f>
        <v/>
      </c>
      <c r="GA21" s="126" t="str">
        <f>IFERROR(VLOOKUP(GA20,教师安排!$A:$Y,GA$2+1,FALSE),"")</f>
        <v/>
      </c>
      <c r="GB21" s="126" t="str">
        <f>IFERROR(VLOOKUP(GB20,教师安排!$A:$Y,GB$2+1,FALSE),"")</f>
        <v/>
      </c>
      <c r="GC21" s="126" t="str">
        <f>IFERROR(VLOOKUP(GC20,教师安排!$A:$Y,GC$2+1,FALSE),"")</f>
        <v/>
      </c>
      <c r="GD21" s="126"/>
      <c r="GE21" s="126"/>
      <c r="GF21" s="126"/>
      <c r="GG21" s="126"/>
      <c r="GH21" s="126"/>
      <c r="GI21" s="126"/>
      <c r="GJ21" s="126"/>
      <c r="GK21" s="126"/>
      <c r="GL21" s="126"/>
      <c r="GM21" s="125" t="str">
        <f>IFERROR(VLOOKUP(GM20,教师安排!$A:$Y,GM$2+1,FALSE),"")</f>
        <v/>
      </c>
      <c r="GN21" s="125" t="str">
        <f>IFERROR(VLOOKUP(GN20,教师安排!$A:$Y,GN$2+1,FALSE),"")</f>
        <v/>
      </c>
      <c r="GO21" s="125" t="str">
        <f>IFERROR(VLOOKUP(GO20,教师安排!$A:$Y,GO$2+1,FALSE),"")</f>
        <v/>
      </c>
      <c r="GP21" s="125" t="str">
        <f>IFERROR(VLOOKUP(GP20,教师安排!$A:$Y,GP$2+1,FALSE),"")</f>
        <v/>
      </c>
      <c r="GQ21" s="125" t="str">
        <f>IFERROR(VLOOKUP(GQ20,教师安排!$A:$Y,GQ$2+1,FALSE),"")</f>
        <v/>
      </c>
      <c r="GR21" s="125" t="str">
        <f>IFERROR(VLOOKUP(GR20,教师安排!$A:$Y,GR$2+1,FALSE),"")</f>
        <v/>
      </c>
      <c r="GS21" s="125" t="str">
        <f>IFERROR(VLOOKUP(GS20,教师安排!$A:$Y,GS$2+1,FALSE),"")</f>
        <v/>
      </c>
      <c r="GT21" s="125" t="str">
        <f>IFERROR(VLOOKUP(GT20,教师安排!$A:$Y,GT$2+1,FALSE),"")</f>
        <v/>
      </c>
      <c r="GU21" s="125" t="str">
        <f>IFERROR(VLOOKUP(GU20,教师安排!$A:$Y,GU$2+1,FALSE),"")</f>
        <v/>
      </c>
      <c r="GV21" s="125" t="str">
        <f>IFERROR(VLOOKUP(GV20,教师安排!$A:$Y,GV$2+1,FALSE),"")</f>
        <v/>
      </c>
      <c r="GW21" s="125" t="str">
        <f>IFERROR(VLOOKUP(GW20,教师安排!$A:$Y,GW$2+1,FALSE),"")</f>
        <v/>
      </c>
      <c r="GX21" s="125" t="str">
        <f>IFERROR(VLOOKUP(GX20,教师安排!$A:$Y,GX$2+1,FALSE),"")</f>
        <v/>
      </c>
      <c r="GY21" s="125" t="str">
        <f>IFERROR(VLOOKUP(GY20,教师安排!$A:$Y,GY$2+1,FALSE),"")</f>
        <v/>
      </c>
      <c r="GZ21" s="125" t="str">
        <f>IFERROR(VLOOKUP(GZ20,教师安排!$A:$Y,GZ$2+1,FALSE),"")</f>
        <v/>
      </c>
      <c r="HA21" s="125" t="str">
        <f>IFERROR(VLOOKUP(HA20,教师安排!$A:$Y,HA$2+1,FALSE),"")</f>
        <v/>
      </c>
      <c r="HB21" s="125"/>
      <c r="HC21" s="125"/>
      <c r="HD21" s="125"/>
      <c r="HE21" s="125"/>
      <c r="HF21" s="125"/>
      <c r="HG21" s="125"/>
      <c r="HH21" s="125"/>
      <c r="HI21" s="125"/>
      <c r="HJ21" s="125"/>
      <c r="HK21" s="126" t="str">
        <f>IFERROR(VLOOKUP(HK20,教师安排!$A:$Y,HK$2+1,FALSE),"")</f>
        <v/>
      </c>
      <c r="HL21" s="126" t="str">
        <f>IFERROR(VLOOKUP(HL20,教师安排!$A:$Y,HL$2+1,FALSE),"")</f>
        <v/>
      </c>
      <c r="HM21" s="126" t="str">
        <f>IFERROR(VLOOKUP(HM20,教师安排!$A:$Y,HM$2+1,FALSE),"")</f>
        <v/>
      </c>
      <c r="HN21" s="126" t="str">
        <f>IFERROR(VLOOKUP(HN20,教师安排!$A:$Y,HN$2+1,FALSE),"")</f>
        <v/>
      </c>
      <c r="HO21" s="126" t="str">
        <f>IFERROR(VLOOKUP(HO20,教师安排!$A:$Y,HO$2+1,FALSE),"")</f>
        <v/>
      </c>
      <c r="HP21" s="126" t="str">
        <f>IFERROR(VLOOKUP(HP20,教师安排!$A:$Y,HP$2+1,FALSE),"")</f>
        <v/>
      </c>
      <c r="HQ21" s="126" t="str">
        <f>IFERROR(VLOOKUP(HQ20,教师安排!$A:$Y,HQ$2+1,FALSE),"")</f>
        <v/>
      </c>
      <c r="HR21" s="126" t="str">
        <f>IFERROR(VLOOKUP(HR20,教师安排!$A:$Y,HR$2+1,FALSE),"")</f>
        <v/>
      </c>
      <c r="HS21" s="126" t="str">
        <f>IFERROR(VLOOKUP(HS20,教师安排!$A:$Y,HS$2+1,FALSE),"")</f>
        <v/>
      </c>
      <c r="HT21" s="126" t="str">
        <f>IFERROR(VLOOKUP(HT20,教师安排!$A:$Y,HT$2+1,FALSE),"")</f>
        <v/>
      </c>
      <c r="HU21" s="126" t="str">
        <f>IFERROR(VLOOKUP(HU20,教师安排!$A:$Y,HU$2+1,FALSE),"")</f>
        <v/>
      </c>
      <c r="HV21" s="126" t="str">
        <f>IFERROR(VLOOKUP(HV20,教师安排!$A:$Y,HV$2+1,FALSE),"")</f>
        <v/>
      </c>
      <c r="HW21" s="126" t="str">
        <f>IFERROR(VLOOKUP(HW20,教师安排!$A:$Y,HW$2+1,FALSE),"")</f>
        <v/>
      </c>
      <c r="HX21" s="126" t="str">
        <f>IFERROR(VLOOKUP(HX20,教师安排!$A:$Y,HX$2+1,FALSE),"")</f>
        <v/>
      </c>
      <c r="HY21" s="126" t="str">
        <f>IFERROR(VLOOKUP(HY20,教师安排!$A:$Y,HY$2+1,FALSE),"")</f>
        <v/>
      </c>
      <c r="HZ21" s="126"/>
      <c r="IA21" s="126"/>
      <c r="IB21" s="126"/>
      <c r="IC21" s="126"/>
      <c r="ID21" s="126"/>
      <c r="IE21" s="126"/>
      <c r="IF21" s="126"/>
      <c r="IG21" s="126"/>
      <c r="IH21" s="126"/>
      <c r="II21" s="125" t="str">
        <f>IFERROR(VLOOKUP(II20,教师安排!$A:$Y,II$2+1,FALSE),"")</f>
        <v/>
      </c>
      <c r="IJ21" s="125" t="str">
        <f>IFERROR(VLOOKUP(IJ20,教师安排!$A:$Y,IJ$2+1,FALSE),"")</f>
        <v/>
      </c>
      <c r="IK21" s="125" t="str">
        <f>IFERROR(VLOOKUP(IK20,教师安排!$A:$Y,IK$2+1,FALSE),"")</f>
        <v/>
      </c>
      <c r="IL21" s="125" t="str">
        <f>IFERROR(VLOOKUP(IL20,教师安排!$A:$Y,IL$2+1,FALSE),"")</f>
        <v/>
      </c>
      <c r="IM21" s="125" t="str">
        <f>IFERROR(VLOOKUP(IM20,教师安排!$A:$Y,IM$2+1,FALSE),"")</f>
        <v/>
      </c>
      <c r="IN21" s="125" t="str">
        <f>IFERROR(VLOOKUP(IN20,教师安排!$A:$Y,IN$2+1,FALSE),"")</f>
        <v/>
      </c>
      <c r="IO21" s="125" t="str">
        <f>IFERROR(VLOOKUP(IO20,教师安排!$A:$Y,IO$2+1,FALSE),"")</f>
        <v/>
      </c>
      <c r="IP21" s="125" t="str">
        <f>IFERROR(VLOOKUP(IP20,教师安排!$A:$Y,IP$2+1,FALSE),"")</f>
        <v/>
      </c>
      <c r="IQ21" s="125" t="str">
        <f>IFERROR(VLOOKUP(IQ20,教师安排!$A:$Y,IQ$2+1,FALSE),"")</f>
        <v/>
      </c>
      <c r="IR21" s="125" t="str">
        <f>IFERROR(VLOOKUP(IR20,教师安排!$A:$Y,IR$2+1,FALSE),"")</f>
        <v/>
      </c>
      <c r="IS21" s="125" t="str">
        <f>IFERROR(VLOOKUP(IS20,教师安排!$A:$Y,IS$2+1,FALSE),"")</f>
        <v/>
      </c>
      <c r="IT21" s="125" t="str">
        <f>IFERROR(VLOOKUP(IT20,教师安排!$A:$Y,IT$2+1,FALSE),"")</f>
        <v/>
      </c>
      <c r="IU21" s="125" t="str">
        <f>IFERROR(VLOOKUP(IU20,教师安排!$A:$Y,IU$2+1,FALSE),"")</f>
        <v/>
      </c>
      <c r="IV21" s="125" t="str">
        <f>IFERROR(VLOOKUP(IV20,教师安排!$A:$Y,IV$2+1,FALSE),"")</f>
        <v/>
      </c>
      <c r="IW21" s="125" t="str">
        <f>IFERROR(VLOOKUP(IW20,教师安排!$A:$Y,IW$2+1,FALSE),"")</f>
        <v/>
      </c>
      <c r="IX21" s="125"/>
      <c r="IY21" s="125"/>
      <c r="IZ21" s="125"/>
      <c r="JA21" s="125"/>
      <c r="JB21" s="125"/>
      <c r="JC21" s="125"/>
      <c r="JD21" s="125"/>
      <c r="JE21" s="125"/>
      <c r="JF21" s="125"/>
      <c r="JG21" s="126" t="str">
        <f>IFERROR(VLOOKUP(JG20,教师安排!$A:$Y,JG$2+1,FALSE),"")</f>
        <v/>
      </c>
      <c r="JH21" s="126" t="str">
        <f>IFERROR(VLOOKUP(JH20,教师安排!$A:$Y,JH$2+1,FALSE),"")</f>
        <v/>
      </c>
      <c r="JI21" s="126" t="str">
        <f>IFERROR(VLOOKUP(JI20,教师安排!$A:$Y,JI$2+1,FALSE),"")</f>
        <v/>
      </c>
      <c r="JJ21" s="126" t="str">
        <f>IFERROR(VLOOKUP(JJ20,教师安排!$A:$Y,JJ$2+1,FALSE),"")</f>
        <v/>
      </c>
      <c r="JK21" s="126" t="str">
        <f>IFERROR(VLOOKUP(JK20,教师安排!$A:$Y,JK$2+1,FALSE),"")</f>
        <v/>
      </c>
      <c r="JL21" s="126" t="str">
        <f>IFERROR(VLOOKUP(JL20,教师安排!$A:$Y,JL$2+1,FALSE),"")</f>
        <v/>
      </c>
      <c r="JM21" s="126" t="str">
        <f>IFERROR(VLOOKUP(JM20,教师安排!$A:$Y,JM$2+1,FALSE),"")</f>
        <v/>
      </c>
      <c r="JN21" s="126" t="str">
        <f>IFERROR(VLOOKUP(JN20,教师安排!$A:$Y,JN$2+1,FALSE),"")</f>
        <v/>
      </c>
      <c r="JO21" s="126" t="str">
        <f>IFERROR(VLOOKUP(JO20,教师安排!$A:$Y,JO$2+1,FALSE),"")</f>
        <v/>
      </c>
      <c r="JP21" s="126" t="str">
        <f>IFERROR(VLOOKUP(JP20,教师安排!$A:$Y,JP$2+1,FALSE),"")</f>
        <v/>
      </c>
      <c r="JQ21" s="126" t="str">
        <f>IFERROR(VLOOKUP(JQ20,教师安排!$A:$Y,JQ$2+1,FALSE),"")</f>
        <v/>
      </c>
      <c r="JR21" s="126" t="str">
        <f>IFERROR(VLOOKUP(JR20,教师安排!$A:$Y,JR$2+1,FALSE),"")</f>
        <v/>
      </c>
      <c r="JS21" s="126" t="str">
        <f>IFERROR(VLOOKUP(JS20,教师安排!$A:$Y,JS$2+1,FALSE),"")</f>
        <v/>
      </c>
      <c r="JT21" s="126" t="str">
        <f>IFERROR(VLOOKUP(JT20,教师安排!$A:$Y,JT$2+1,FALSE),"")</f>
        <v/>
      </c>
      <c r="JU21" s="126" t="str">
        <f>IFERROR(VLOOKUP(JU20,教师安排!$A:$Y,JU$2+1,FALSE),"")</f>
        <v/>
      </c>
      <c r="JV21" s="126"/>
      <c r="JW21" s="126"/>
      <c r="JX21" s="126"/>
      <c r="JY21" s="126"/>
      <c r="JZ21" s="126"/>
      <c r="KA21" s="126"/>
      <c r="KB21" s="126"/>
      <c r="KC21" s="126"/>
      <c r="KD21" s="126"/>
    </row>
    <row r="22" spans="1:290" s="116" customFormat="1" ht="18" customHeight="1" x14ac:dyDescent="0.4">
      <c r="A22" s="145"/>
      <c r="B22" s="143">
        <v>1</v>
      </c>
      <c r="C22" s="121" t="s">
        <v>34</v>
      </c>
      <c r="D22" s="121" t="s">
        <v>42</v>
      </c>
      <c r="E22" s="121" t="s">
        <v>42</v>
      </c>
      <c r="F22" s="121" t="s">
        <v>76</v>
      </c>
      <c r="G22" s="121" t="s">
        <v>26</v>
      </c>
      <c r="H22" s="121" t="s">
        <v>62</v>
      </c>
      <c r="I22" s="121" t="s">
        <v>26</v>
      </c>
      <c r="J22" s="121" t="s">
        <v>34</v>
      </c>
      <c r="K22" s="121" t="s">
        <v>42</v>
      </c>
      <c r="L22" s="121" t="s">
        <v>42</v>
      </c>
      <c r="M22" s="121" t="s">
        <v>26</v>
      </c>
      <c r="N22" s="121" t="s">
        <v>135</v>
      </c>
      <c r="O22" s="121" t="s">
        <v>81</v>
      </c>
      <c r="P22" s="121" t="s">
        <v>76</v>
      </c>
      <c r="Q22" s="121" t="s">
        <v>92</v>
      </c>
      <c r="R22" s="121"/>
      <c r="S22" s="121" t="s">
        <v>136</v>
      </c>
      <c r="T22" s="121"/>
      <c r="U22" s="121" t="s">
        <v>138</v>
      </c>
      <c r="V22" s="121"/>
      <c r="W22" s="121"/>
      <c r="X22" s="121"/>
      <c r="Y22" s="121"/>
      <c r="Z22" s="121"/>
      <c r="AA22" s="122" t="s">
        <v>26</v>
      </c>
      <c r="AB22" s="122" t="s">
        <v>71</v>
      </c>
      <c r="AC22" s="122" t="s">
        <v>66</v>
      </c>
      <c r="AD22" s="122" t="s">
        <v>134</v>
      </c>
      <c r="AE22" s="122" t="s">
        <v>34</v>
      </c>
      <c r="AF22" s="122" t="s">
        <v>62</v>
      </c>
      <c r="AG22" s="122" t="s">
        <v>81</v>
      </c>
      <c r="AH22" s="122" t="s">
        <v>81</v>
      </c>
      <c r="AI22" s="122" t="s">
        <v>89</v>
      </c>
      <c r="AJ22" s="122" t="s">
        <v>26</v>
      </c>
      <c r="AK22" s="122" t="s">
        <v>71</v>
      </c>
      <c r="AL22" s="122" t="s">
        <v>135</v>
      </c>
      <c r="AM22" s="122" t="s">
        <v>66</v>
      </c>
      <c r="AN22" s="122" t="s">
        <v>71</v>
      </c>
      <c r="AO22" s="122" t="s">
        <v>26</v>
      </c>
      <c r="AP22" s="122"/>
      <c r="AQ22" s="122"/>
      <c r="AR22" s="122"/>
      <c r="AS22" s="122"/>
      <c r="AT22" s="122"/>
      <c r="AU22" s="122"/>
      <c r="AV22" s="122"/>
      <c r="AW22" s="122"/>
      <c r="AX22" s="122"/>
      <c r="AY22" s="121" t="s">
        <v>76</v>
      </c>
      <c r="AZ22" s="121" t="s">
        <v>26</v>
      </c>
      <c r="BA22" s="121" t="s">
        <v>66</v>
      </c>
      <c r="BB22" s="121" t="s">
        <v>81</v>
      </c>
      <c r="BC22" s="121" t="s">
        <v>89</v>
      </c>
      <c r="BD22" s="121" t="s">
        <v>89</v>
      </c>
      <c r="BE22" s="121" t="s">
        <v>76</v>
      </c>
      <c r="BF22" s="121" t="s">
        <v>34</v>
      </c>
      <c r="BG22" s="121" t="s">
        <v>26</v>
      </c>
      <c r="BH22" s="121" t="s">
        <v>34</v>
      </c>
      <c r="BI22" s="121" t="s">
        <v>26</v>
      </c>
      <c r="BJ22" s="121" t="s">
        <v>135</v>
      </c>
      <c r="BK22" s="121" t="s">
        <v>76</v>
      </c>
      <c r="BL22" s="121" t="s">
        <v>71</v>
      </c>
      <c r="BM22" s="121" t="s">
        <v>81</v>
      </c>
      <c r="BN22" s="121"/>
      <c r="BO22" s="121"/>
      <c r="BP22" s="121"/>
      <c r="BQ22" s="121"/>
      <c r="BR22" s="121"/>
      <c r="BS22" s="121"/>
      <c r="BT22" s="121"/>
      <c r="BU22" s="121"/>
      <c r="BV22" s="121"/>
      <c r="BW22" s="122" t="s">
        <v>62</v>
      </c>
      <c r="BX22" s="122" t="s">
        <v>66</v>
      </c>
      <c r="BY22" s="122" t="s">
        <v>76</v>
      </c>
      <c r="BZ22" s="122" t="s">
        <v>134</v>
      </c>
      <c r="CA22" s="122" t="s">
        <v>42</v>
      </c>
      <c r="CB22" s="122" t="s">
        <v>54</v>
      </c>
      <c r="CC22" s="122" t="s">
        <v>42</v>
      </c>
      <c r="CD22" s="122" t="s">
        <v>42</v>
      </c>
      <c r="CE22" s="122" t="s">
        <v>81</v>
      </c>
      <c r="CF22" s="122" t="s">
        <v>76</v>
      </c>
      <c r="CG22" s="122" t="s">
        <v>34</v>
      </c>
      <c r="CH22" s="122" t="s">
        <v>135</v>
      </c>
      <c r="CI22" s="122" t="s">
        <v>76</v>
      </c>
      <c r="CJ22" s="122" t="s">
        <v>89</v>
      </c>
      <c r="CK22" s="122" t="s">
        <v>89</v>
      </c>
      <c r="CL22" s="122"/>
      <c r="CM22" s="122"/>
      <c r="CN22" s="122"/>
      <c r="CO22" s="122"/>
      <c r="CP22" s="122"/>
      <c r="CQ22" s="122"/>
      <c r="CR22" s="122"/>
      <c r="CS22" s="122"/>
      <c r="CT22" s="122"/>
      <c r="CU22" s="121" t="s">
        <v>62</v>
      </c>
      <c r="CV22" s="121" t="s">
        <v>81</v>
      </c>
      <c r="CW22" s="121" t="s">
        <v>87</v>
      </c>
      <c r="CX22" s="121" t="s">
        <v>66</v>
      </c>
      <c r="CY22" s="121" t="s">
        <v>62</v>
      </c>
      <c r="CZ22" s="121" t="s">
        <v>54</v>
      </c>
      <c r="DA22" s="121" t="s">
        <v>76</v>
      </c>
      <c r="DB22" s="121" t="s">
        <v>76</v>
      </c>
      <c r="DC22" s="121" t="s">
        <v>76</v>
      </c>
      <c r="DD22" s="121" t="s">
        <v>81</v>
      </c>
      <c r="DE22" s="121" t="s">
        <v>26</v>
      </c>
      <c r="DF22" s="121" t="s">
        <v>135</v>
      </c>
      <c r="DG22" s="121" t="s">
        <v>92</v>
      </c>
      <c r="DH22" s="121" t="s">
        <v>71</v>
      </c>
      <c r="DI22" s="121" t="s">
        <v>81</v>
      </c>
      <c r="DJ22" s="121"/>
      <c r="DK22" s="121"/>
      <c r="DL22" s="121"/>
      <c r="DM22" s="121"/>
      <c r="DN22" s="121"/>
      <c r="DO22" s="121"/>
      <c r="DP22" s="121"/>
      <c r="DQ22" s="121"/>
      <c r="DR22" s="121"/>
      <c r="DS22" s="122" t="s">
        <v>62</v>
      </c>
      <c r="DT22" s="122" t="s">
        <v>76</v>
      </c>
      <c r="DU22" s="122" t="s">
        <v>71</v>
      </c>
      <c r="DV22" s="122" t="s">
        <v>66</v>
      </c>
      <c r="DW22" s="122" t="s">
        <v>34</v>
      </c>
      <c r="DX22" s="122" t="s">
        <v>34</v>
      </c>
      <c r="DY22" s="122" t="s">
        <v>54</v>
      </c>
      <c r="DZ22" s="122" t="s">
        <v>58</v>
      </c>
      <c r="EA22" s="122" t="s">
        <v>26</v>
      </c>
      <c r="EB22" s="122" t="s">
        <v>34</v>
      </c>
      <c r="EC22" s="122" t="s">
        <v>66</v>
      </c>
      <c r="ED22" s="122" t="s">
        <v>135</v>
      </c>
      <c r="EE22" s="122" t="s">
        <v>76</v>
      </c>
      <c r="EF22" s="122" t="s">
        <v>66</v>
      </c>
      <c r="EG22" s="122" t="s">
        <v>26</v>
      </c>
      <c r="EH22" s="122"/>
      <c r="EI22" s="122"/>
      <c r="EJ22" s="122"/>
      <c r="EK22" s="122"/>
      <c r="EL22" s="122"/>
      <c r="EM22" s="122"/>
      <c r="EN22" s="122"/>
      <c r="EO22" s="122"/>
      <c r="EP22" s="122"/>
      <c r="EQ22" s="121" t="s">
        <v>26</v>
      </c>
      <c r="ER22" s="121" t="s">
        <v>42</v>
      </c>
      <c r="ES22" s="121" t="s">
        <v>42</v>
      </c>
      <c r="ET22" s="121" t="s">
        <v>26</v>
      </c>
      <c r="EU22" s="121" t="s">
        <v>62</v>
      </c>
      <c r="EV22" s="121" t="s">
        <v>58</v>
      </c>
      <c r="EW22" s="121" t="s">
        <v>76</v>
      </c>
      <c r="EX22" s="121" t="s">
        <v>54</v>
      </c>
      <c r="EY22" s="121" t="s">
        <v>42</v>
      </c>
      <c r="EZ22" s="121" t="s">
        <v>62</v>
      </c>
      <c r="FA22" s="121" t="s">
        <v>26</v>
      </c>
      <c r="FB22" s="121" t="s">
        <v>135</v>
      </c>
      <c r="FC22" s="121" t="s">
        <v>76</v>
      </c>
      <c r="FD22" s="121" t="s">
        <v>71</v>
      </c>
      <c r="FE22" s="121" t="s">
        <v>71</v>
      </c>
      <c r="FF22" s="121"/>
      <c r="FG22" s="121" t="s">
        <v>136</v>
      </c>
      <c r="FH22" s="121"/>
      <c r="FI22" s="121" t="s">
        <v>138</v>
      </c>
      <c r="FJ22" s="121"/>
      <c r="FK22" s="121"/>
      <c r="FL22" s="121"/>
      <c r="FM22" s="121"/>
      <c r="FN22" s="121"/>
      <c r="FO22" s="122" t="s">
        <v>34</v>
      </c>
      <c r="FP22" s="122" t="s">
        <v>42</v>
      </c>
      <c r="FQ22" s="122" t="s">
        <v>42</v>
      </c>
      <c r="FR22" s="122" t="s">
        <v>76</v>
      </c>
      <c r="FS22" s="122" t="s">
        <v>26</v>
      </c>
      <c r="FT22" s="122" t="s">
        <v>62</v>
      </c>
      <c r="FU22" s="122" t="s">
        <v>26</v>
      </c>
      <c r="FV22" s="122" t="s">
        <v>34</v>
      </c>
      <c r="FW22" s="122" t="s">
        <v>42</v>
      </c>
      <c r="FX22" s="122" t="s">
        <v>42</v>
      </c>
      <c r="FY22" s="122" t="s">
        <v>26</v>
      </c>
      <c r="FZ22" s="122" t="s">
        <v>135</v>
      </c>
      <c r="GA22" s="122" t="s">
        <v>81</v>
      </c>
      <c r="GB22" s="122" t="s">
        <v>76</v>
      </c>
      <c r="GC22" s="122" t="s">
        <v>92</v>
      </c>
      <c r="GD22" s="122"/>
      <c r="GE22" s="122" t="s">
        <v>136</v>
      </c>
      <c r="GF22" s="122"/>
      <c r="GG22" s="122" t="s">
        <v>138</v>
      </c>
      <c r="GH22" s="122"/>
      <c r="GI22" s="122"/>
      <c r="GJ22" s="122"/>
      <c r="GK22" s="122"/>
      <c r="GL22" s="122"/>
      <c r="GM22" s="121" t="s">
        <v>26</v>
      </c>
      <c r="GN22" s="121" t="s">
        <v>71</v>
      </c>
      <c r="GO22" s="121" t="s">
        <v>66</v>
      </c>
      <c r="GP22" s="121" t="s">
        <v>134</v>
      </c>
      <c r="GQ22" s="121" t="s">
        <v>34</v>
      </c>
      <c r="GR22" s="121" t="s">
        <v>62</v>
      </c>
      <c r="GS22" s="121" t="s">
        <v>81</v>
      </c>
      <c r="GT22" s="121" t="s">
        <v>81</v>
      </c>
      <c r="GU22" s="121" t="s">
        <v>89</v>
      </c>
      <c r="GV22" s="121" t="s">
        <v>26</v>
      </c>
      <c r="GW22" s="121" t="s">
        <v>71</v>
      </c>
      <c r="GX22" s="121" t="s">
        <v>135</v>
      </c>
      <c r="GY22" s="121" t="s">
        <v>66</v>
      </c>
      <c r="GZ22" s="121" t="s">
        <v>71</v>
      </c>
      <c r="HA22" s="121" t="s">
        <v>26</v>
      </c>
      <c r="HB22" s="121"/>
      <c r="HC22" s="121"/>
      <c r="HD22" s="121"/>
      <c r="HE22" s="121"/>
      <c r="HF22" s="121"/>
      <c r="HG22" s="121"/>
      <c r="HH22" s="121"/>
      <c r="HI22" s="121"/>
      <c r="HJ22" s="121"/>
      <c r="HK22" s="122" t="s">
        <v>76</v>
      </c>
      <c r="HL22" s="122" t="s">
        <v>26</v>
      </c>
      <c r="HM22" s="122" t="s">
        <v>66</v>
      </c>
      <c r="HN22" s="122" t="s">
        <v>81</v>
      </c>
      <c r="HO22" s="122" t="s">
        <v>89</v>
      </c>
      <c r="HP22" s="122" t="s">
        <v>89</v>
      </c>
      <c r="HQ22" s="122" t="s">
        <v>76</v>
      </c>
      <c r="HR22" s="122" t="s">
        <v>34</v>
      </c>
      <c r="HS22" s="122" t="s">
        <v>26</v>
      </c>
      <c r="HT22" s="122" t="s">
        <v>34</v>
      </c>
      <c r="HU22" s="122" t="s">
        <v>26</v>
      </c>
      <c r="HV22" s="122" t="s">
        <v>135</v>
      </c>
      <c r="HW22" s="122" t="s">
        <v>76</v>
      </c>
      <c r="HX22" s="122" t="s">
        <v>71</v>
      </c>
      <c r="HY22" s="122" t="s">
        <v>81</v>
      </c>
      <c r="HZ22" s="122"/>
      <c r="IA22" s="122"/>
      <c r="IB22" s="122"/>
      <c r="IC22" s="122"/>
      <c r="ID22" s="122"/>
      <c r="IE22" s="122"/>
      <c r="IF22" s="122"/>
      <c r="IG22" s="122"/>
      <c r="IH22" s="122"/>
      <c r="II22" s="121" t="s">
        <v>62</v>
      </c>
      <c r="IJ22" s="121" t="s">
        <v>66</v>
      </c>
      <c r="IK22" s="121" t="s">
        <v>76</v>
      </c>
      <c r="IL22" s="121" t="s">
        <v>134</v>
      </c>
      <c r="IM22" s="121" t="s">
        <v>42</v>
      </c>
      <c r="IN22" s="121" t="s">
        <v>54</v>
      </c>
      <c r="IO22" s="121" t="s">
        <v>42</v>
      </c>
      <c r="IP22" s="121" t="s">
        <v>42</v>
      </c>
      <c r="IQ22" s="121" t="s">
        <v>81</v>
      </c>
      <c r="IR22" s="121" t="s">
        <v>76</v>
      </c>
      <c r="IS22" s="121" t="s">
        <v>34</v>
      </c>
      <c r="IT22" s="121" t="s">
        <v>135</v>
      </c>
      <c r="IU22" s="121" t="s">
        <v>76</v>
      </c>
      <c r="IV22" s="121" t="s">
        <v>89</v>
      </c>
      <c r="IW22" s="121" t="s">
        <v>89</v>
      </c>
      <c r="IX22" s="121"/>
      <c r="IY22" s="121"/>
      <c r="IZ22" s="121"/>
      <c r="JA22" s="121"/>
      <c r="JB22" s="121"/>
      <c r="JC22" s="121"/>
      <c r="JD22" s="121"/>
      <c r="JE22" s="121"/>
      <c r="JF22" s="121"/>
      <c r="JG22" s="122" t="s">
        <v>62</v>
      </c>
      <c r="JH22" s="122" t="s">
        <v>81</v>
      </c>
      <c r="JI22" s="122" t="s">
        <v>87</v>
      </c>
      <c r="JJ22" s="122" t="s">
        <v>66</v>
      </c>
      <c r="JK22" s="122" t="s">
        <v>62</v>
      </c>
      <c r="JL22" s="122" t="s">
        <v>54</v>
      </c>
      <c r="JM22" s="122" t="s">
        <v>76</v>
      </c>
      <c r="JN22" s="122" t="s">
        <v>81</v>
      </c>
      <c r="JO22" s="122" t="s">
        <v>76</v>
      </c>
      <c r="JP22" s="122" t="s">
        <v>62</v>
      </c>
      <c r="JQ22" s="122" t="s">
        <v>26</v>
      </c>
      <c r="JR22" s="122" t="s">
        <v>135</v>
      </c>
      <c r="JS22" s="122" t="s">
        <v>92</v>
      </c>
      <c r="JT22" s="122" t="s">
        <v>71</v>
      </c>
      <c r="JU22" s="122" t="s">
        <v>81</v>
      </c>
      <c r="JV22" s="122"/>
      <c r="JW22" s="122"/>
      <c r="JX22" s="122"/>
      <c r="JY22" s="122"/>
      <c r="JZ22" s="122"/>
      <c r="KA22" s="122"/>
      <c r="KB22" s="122"/>
      <c r="KC22" s="122"/>
      <c r="KD22" s="122"/>
    </row>
    <row r="23" spans="1:290" s="117" customFormat="1" ht="18" customHeight="1" x14ac:dyDescent="0.4">
      <c r="A23" s="145"/>
      <c r="B23" s="143"/>
      <c r="C23" s="125" t="str">
        <f>IFERROR(VLOOKUP(C22,教师安排!$A:$Y,C$2+1,FALSE),"")</f>
        <v>侯淑贤</v>
      </c>
      <c r="D23" s="125" t="str">
        <f>IFERROR(VLOOKUP(D22,教师安排!$A:$Y,D$2+1,FALSE),"")</f>
        <v>岳/厉</v>
      </c>
      <c r="E23" s="125" t="str">
        <f>IFERROR(VLOOKUP(E22,教师安排!$A:$Y,E$2+1,FALSE),"")</f>
        <v>岳/厉</v>
      </c>
      <c r="F23" s="125" t="str">
        <f>IFERROR(VLOOKUP(F22,教师安排!$A:$Y,F$2+1,FALSE),"")</f>
        <v>李会玲</v>
      </c>
      <c r="G23" s="125" t="str">
        <f>IFERROR(VLOOKUP(G22,教师安排!$A:$Y,G$2+1,FALSE),"")</f>
        <v>张冰雪</v>
      </c>
      <c r="H23" s="125" t="str">
        <f>IFERROR(VLOOKUP(H22,教师安排!$A:$Y,H$2+1,FALSE),"")</f>
        <v>蒋心言</v>
      </c>
      <c r="I23" s="125" t="str">
        <f>IFERROR(VLOOKUP(I22,教师安排!$A:$Y,I$2+1,FALSE),"")</f>
        <v>王雪莲</v>
      </c>
      <c r="J23" s="125" t="str">
        <f>IFERROR(VLOOKUP(J22,教师安排!$A:$Y,J$2+1,FALSE),"")</f>
        <v>高文凤</v>
      </c>
      <c r="K23" s="125" t="str">
        <f>IFERROR(VLOOKUP(K22,教师安排!$A:$Y,K$2+1,FALSE),"")</f>
        <v>王灼</v>
      </c>
      <c r="L23" s="125" t="str">
        <f>IFERROR(VLOOKUP(L22,教师安排!$A:$Y,L$2+1,FALSE),"")</f>
        <v>胡存想</v>
      </c>
      <c r="M23" s="125" t="str">
        <f>IFERROR(VLOOKUP(M22,教师安排!$A:$Y,M$2+1,FALSE),"")</f>
        <v>路睿</v>
      </c>
      <c r="N23" s="125">
        <f>IFERROR(VLOOKUP(N22,教师安排!$A:$Y,N$2+1,FALSE),"")</f>
        <v>0</v>
      </c>
      <c r="O23" s="125" t="str">
        <f>IFERROR(VLOOKUP(O22,教师安排!$A:$Y,O$2+1,FALSE),"")</f>
        <v>袁奇</v>
      </c>
      <c r="P23" s="125" t="str">
        <f>IFERROR(VLOOKUP(P22,教师安排!$A:$Y,P$2+1,FALSE),"")</f>
        <v>孙锦锦</v>
      </c>
      <c r="Q23" s="125" t="str">
        <f>IFERROR(VLOOKUP(Q22,教师安排!$A:$Y,Q$2+1,FALSE),"")</f>
        <v>孙显阳</v>
      </c>
      <c r="R23" s="125" t="str">
        <f>IFERROR(VLOOKUP(R22,教师安排!$A:$Y,R$2+1,FALSE),"")</f>
        <v/>
      </c>
      <c r="S23" s="125" t="str">
        <f>IFERROR(VLOOKUP(S22,教师安排!$A:$Y,S$2+1,FALSE),"")</f>
        <v>岳海霞</v>
      </c>
      <c r="T23" s="125" t="str">
        <f>IFERROR(VLOOKUP(T22,教师安排!$A:$Y,T$2+1,FALSE),"")</f>
        <v/>
      </c>
      <c r="U23" s="125" t="str">
        <f>IFERROR(VLOOKUP(U22,教师安排!$A:$Y,U$2+1,FALSE),"")</f>
        <v>厉彦龙</v>
      </c>
      <c r="V23" s="125"/>
      <c r="W23" s="125" t="str">
        <f>IFERROR(VLOOKUP(W22,教师安排!$A:$Y,W$2+1,FALSE),"")</f>
        <v/>
      </c>
      <c r="X23" s="125" t="str">
        <f>IFERROR(VLOOKUP(X22,教师安排!$A:$Y,X$2+1,FALSE),"")</f>
        <v/>
      </c>
      <c r="Y23" s="125" t="str">
        <f>IFERROR(VLOOKUP(Y22,教师安排!$A:$Y,Y$2+1,FALSE),"")</f>
        <v/>
      </c>
      <c r="Z23" s="125" t="str">
        <f>IFERROR(VLOOKUP(Z22,教师安排!$A:$Y,Z$2+1,FALSE),"")</f>
        <v/>
      </c>
      <c r="AA23" s="126" t="str">
        <f>IFERROR(VLOOKUP(AA22,教师安排!$A:$Y,AA$2+1,FALSE),"")</f>
        <v>杨彬</v>
      </c>
      <c r="AB23" s="126" t="str">
        <f>IFERROR(VLOOKUP(AB22,教师安排!$A:$Y,AB$2+1,FALSE),"")</f>
        <v>刘珊珊</v>
      </c>
      <c r="AC23" s="126" t="str">
        <f>IFERROR(VLOOKUP(AC22,教师安排!$A:$Y,AC$2+1,FALSE),"")</f>
        <v>李雯</v>
      </c>
      <c r="AD23" s="126">
        <f>IFERROR(VLOOKUP(AD22,教师安排!$A:$Y,AD$2+1,FALSE),"")</f>
        <v>0</v>
      </c>
      <c r="AE23" s="126" t="str">
        <f>IFERROR(VLOOKUP(AE22,教师安排!$A:$Y,AE$2+1,FALSE),"")</f>
        <v>赵雪敏</v>
      </c>
      <c r="AF23" s="126" t="str">
        <f>IFERROR(VLOOKUP(AF22,教师安排!$A:$Y,AF$2+1,FALSE),"")</f>
        <v>蒋心言</v>
      </c>
      <c r="AG23" s="126" t="str">
        <f>IFERROR(VLOOKUP(AG22,教师安排!$A:$Y,AG$2+1,FALSE),"")</f>
        <v>袁奇</v>
      </c>
      <c r="AH23" s="126" t="str">
        <f>IFERROR(VLOOKUP(AH22,教师安排!$A:$Y,AH$2+1,FALSE),"")</f>
        <v>刘天骄</v>
      </c>
      <c r="AI23" s="126" t="str">
        <f>IFERROR(VLOOKUP(AI22,教师安排!$A:$Y,AI$2+1,FALSE),"")</f>
        <v>孙显阳</v>
      </c>
      <c r="AJ23" s="126" t="str">
        <f>IFERROR(VLOOKUP(AJ22,教师安排!$A:$Y,AJ$2+1,FALSE),"")</f>
        <v>王菲</v>
      </c>
      <c r="AK23" s="126" t="str">
        <f>IFERROR(VLOOKUP(AK22,教师安排!$A:$Y,AK$2+1,FALSE),"")</f>
        <v>张雯皓</v>
      </c>
      <c r="AL23" s="126">
        <f>IFERROR(VLOOKUP(AL22,教师安排!$A:$Y,AL$2+1,FALSE),"")</f>
        <v>0</v>
      </c>
      <c r="AM23" s="126" t="str">
        <f>IFERROR(VLOOKUP(AM22,教师安排!$A:$Y,AM$2+1,FALSE),"")</f>
        <v>夏文杰</v>
      </c>
      <c r="AN23" s="126" t="str">
        <f>IFERROR(VLOOKUP(AN22,教师安排!$A:$Y,AN$2+1,FALSE),"")</f>
        <v>李浩然</v>
      </c>
      <c r="AO23" s="126" t="str">
        <f>IFERROR(VLOOKUP(AO22,教师安排!$A:$Y,AO$2+1,FALSE),"")</f>
        <v>路睿</v>
      </c>
      <c r="AP23" s="126" t="str">
        <f>IFERROR(VLOOKUP(AP22,教师安排!$A:$Y,AP$2+1,FALSE),"")</f>
        <v/>
      </c>
      <c r="AQ23" s="126" t="str">
        <f>IFERROR(VLOOKUP(AQ22,教师安排!$A:$Y,AQ$2+1,FALSE),"")</f>
        <v/>
      </c>
      <c r="AR23" s="126" t="str">
        <f>IFERROR(VLOOKUP(AR22,教师安排!$A:$Y,AR$2+1,FALSE),"")</f>
        <v/>
      </c>
      <c r="AS23" s="126" t="str">
        <f>IFERROR(VLOOKUP(AS22,教师安排!$A:$Y,AS$2+1,FALSE),"")</f>
        <v/>
      </c>
      <c r="AT23" s="126"/>
      <c r="AU23" s="126" t="str">
        <f>IFERROR(VLOOKUP(AU22,教师安排!$A:$Y,AU$2+1,FALSE),"")</f>
        <v/>
      </c>
      <c r="AV23" s="126" t="str">
        <f>IFERROR(VLOOKUP(AV22,教师安排!$A:$Y,AV$2+1,FALSE),"")</f>
        <v/>
      </c>
      <c r="AW23" s="126" t="str">
        <f>IFERROR(VLOOKUP(AW22,教师安排!$A:$Y,AW$2+1,FALSE),"")</f>
        <v/>
      </c>
      <c r="AX23" s="126" t="str">
        <f>IFERROR(VLOOKUP(AX22,教师安排!$A:$Y,AX$2+1,FALSE),"")</f>
        <v/>
      </c>
      <c r="AY23" s="125" t="str">
        <f>IFERROR(VLOOKUP(AY22,教师安排!$A:$Y,AY$2+1,FALSE),"")</f>
        <v>李会玲</v>
      </c>
      <c r="AZ23" s="125" t="str">
        <f>IFERROR(VLOOKUP(AZ22,教师安排!$A:$Y,AZ$2+1,FALSE),"")</f>
        <v>史振塞</v>
      </c>
      <c r="BA23" s="125" t="str">
        <f>IFERROR(VLOOKUP(BA22,教师安排!$A:$Y,BA$2+1,FALSE),"")</f>
        <v>李雯</v>
      </c>
      <c r="BB23" s="125" t="str">
        <f>IFERROR(VLOOKUP(BB22,教师安排!$A:$Y,BB$2+1,FALSE),"")</f>
        <v>王庆超</v>
      </c>
      <c r="BC23" s="125" t="str">
        <f>IFERROR(VLOOKUP(BC22,教师安排!$A:$Y,BC$2+1,FALSE),"")</f>
        <v>孙显阳</v>
      </c>
      <c r="BD23" s="125" t="str">
        <f>IFERROR(VLOOKUP(BD22,教师安排!$A:$Y,BD$2+1,FALSE),"")</f>
        <v>张喆</v>
      </c>
      <c r="BE23" s="125" t="str">
        <f>IFERROR(VLOOKUP(BE22,教师安排!$A:$Y,BE$2+1,FALSE),"")</f>
        <v>孙锦锦</v>
      </c>
      <c r="BF23" s="125" t="str">
        <f>IFERROR(VLOOKUP(BF22,教师安排!$A:$Y,BF$2+1,FALSE),"")</f>
        <v>高文凤</v>
      </c>
      <c r="BG23" s="125" t="str">
        <f>IFERROR(VLOOKUP(BG22,教师安排!$A:$Y,BG$2+1,FALSE),"")</f>
        <v>张冰雪</v>
      </c>
      <c r="BH23" s="125" t="str">
        <f>IFERROR(VLOOKUP(BH22,教师安排!$A:$Y,BH$2+1,FALSE),"")</f>
        <v>孙娜</v>
      </c>
      <c r="BI23" s="125" t="str">
        <f>IFERROR(VLOOKUP(BI22,教师安排!$A:$Y,BI$2+1,FALSE),"")</f>
        <v>路睿</v>
      </c>
      <c r="BJ23" s="125">
        <f>IFERROR(VLOOKUP(BJ22,教师安排!$A:$Y,BJ$2+1,FALSE),"")</f>
        <v>0</v>
      </c>
      <c r="BK23" s="125" t="str">
        <f>IFERROR(VLOOKUP(BK22,教师安排!$A:$Y,BK$2+1,FALSE),"")</f>
        <v>王硕</v>
      </c>
      <c r="BL23" s="125" t="str">
        <f>IFERROR(VLOOKUP(BL22,教师安排!$A:$Y,BL$2+1,FALSE),"")</f>
        <v>李浩然</v>
      </c>
      <c r="BM23" s="125" t="str">
        <f>IFERROR(VLOOKUP(BM22,教师安排!$A:$Y,BM$2+1,FALSE),"")</f>
        <v>袁奇</v>
      </c>
      <c r="BN23" s="125" t="str">
        <f>IFERROR(VLOOKUP(BN22,教师安排!$A:$Y,BN$2+1,FALSE),"")</f>
        <v/>
      </c>
      <c r="BO23" s="125" t="str">
        <f>IFERROR(VLOOKUP(BO22,教师安排!$A:$Y,BO$2+1,FALSE),"")</f>
        <v/>
      </c>
      <c r="BP23" s="125" t="str">
        <f>IFERROR(VLOOKUP(BP22,教师安排!$A:$Y,BP$2+1,FALSE),"")</f>
        <v/>
      </c>
      <c r="BQ23" s="125" t="str">
        <f>IFERROR(VLOOKUP(BQ22,教师安排!$A:$Y,BQ$2+1,FALSE),"")</f>
        <v/>
      </c>
      <c r="BR23" s="125"/>
      <c r="BS23" s="125" t="str">
        <f>IFERROR(VLOOKUP(BS22,教师安排!$A:$Y,BS$2+1,FALSE),"")</f>
        <v/>
      </c>
      <c r="BT23" s="125" t="str">
        <f>IFERROR(VLOOKUP(BT22,教师安排!$A:$Y,BT$2+1,FALSE),"")</f>
        <v/>
      </c>
      <c r="BU23" s="125" t="str">
        <f>IFERROR(VLOOKUP(BU22,教师安排!$A:$Y,BU$2+1,FALSE),"")</f>
        <v/>
      </c>
      <c r="BV23" s="125" t="str">
        <f>IFERROR(VLOOKUP(BV22,教师安排!$A:$Y,BV$2+1,FALSE),"")</f>
        <v/>
      </c>
      <c r="BW23" s="126" t="str">
        <f>IFERROR(VLOOKUP(BW22,教师安排!$A:$Y,BW$2+1,FALSE),"")</f>
        <v>周兴玲</v>
      </c>
      <c r="BX23" s="126" t="str">
        <f>IFERROR(VLOOKUP(BX22,教师安排!$A:$Y,BX$2+1,FALSE),"")</f>
        <v>田凤美</v>
      </c>
      <c r="BY23" s="126" t="str">
        <f>IFERROR(VLOOKUP(BY22,教师安排!$A:$Y,BY$2+1,FALSE),"")</f>
        <v>李会玲</v>
      </c>
      <c r="BZ23" s="126">
        <f>IFERROR(VLOOKUP(BZ22,教师安排!$A:$Y,BZ$2+1,FALSE),"")</f>
        <v>0</v>
      </c>
      <c r="CA23" s="126" t="str">
        <f>IFERROR(VLOOKUP(CA22,教师安排!$A:$Y,CA$2+1,FALSE),"")</f>
        <v>王灼</v>
      </c>
      <c r="CB23" s="126" t="str">
        <f>IFERROR(VLOOKUP(CB22,教师安排!$A:$Y,CB$2+1,FALSE),"")</f>
        <v>孙存义</v>
      </c>
      <c r="CC23" s="126" t="str">
        <f>IFERROR(VLOOKUP(CC22,教师安排!$A:$Y,CC$2+1,FALSE),"")</f>
        <v>韩丽梅</v>
      </c>
      <c r="CD23" s="126" t="str">
        <f>IFERROR(VLOOKUP(CD22,教师安排!$A:$Y,CD$2+1,FALSE),"")</f>
        <v>宋平</v>
      </c>
      <c r="CE23" s="126" t="str">
        <f>IFERROR(VLOOKUP(CE22,教师安排!$A:$Y,CE$2+1,FALSE),"")</f>
        <v>袁奇</v>
      </c>
      <c r="CF23" s="126" t="str">
        <f>IFERROR(VLOOKUP(CF22,教师安排!$A:$Y,CF$2+1,FALSE),"")</f>
        <v>孙秋杰</v>
      </c>
      <c r="CG23" s="126" t="str">
        <f>IFERROR(VLOOKUP(CG22,教师安排!$A:$Y,CG$2+1,FALSE),"")</f>
        <v>范林林</v>
      </c>
      <c r="CH23" s="126">
        <f>IFERROR(VLOOKUP(CH22,教师安排!$A:$Y,CH$2+1,FALSE),"")</f>
        <v>0</v>
      </c>
      <c r="CI23" s="126" t="str">
        <f>IFERROR(VLOOKUP(CI22,教师安排!$A:$Y,CI$2+1,FALSE),"")</f>
        <v>王硕</v>
      </c>
      <c r="CJ23" s="126" t="str">
        <f>IFERROR(VLOOKUP(CJ22,教师安排!$A:$Y,CJ$2+1,FALSE),"")</f>
        <v>张喆</v>
      </c>
      <c r="CK23" s="126" t="str">
        <f>IFERROR(VLOOKUP(CK22,教师安排!$A:$Y,CK$2+1,FALSE),"")</f>
        <v>孙显阳</v>
      </c>
      <c r="CL23" s="126" t="str">
        <f>IFERROR(VLOOKUP(CL22,教师安排!$A:$Y,CL$2+1,FALSE),"")</f>
        <v/>
      </c>
      <c r="CM23" s="126" t="str">
        <f>IFERROR(VLOOKUP(CM22,教师安排!$A:$Y,CM$2+1,FALSE),"")</f>
        <v/>
      </c>
      <c r="CN23" s="126" t="str">
        <f>IFERROR(VLOOKUP(CN22,教师安排!$A:$Y,CN$2+1,FALSE),"")</f>
        <v/>
      </c>
      <c r="CO23" s="126" t="str">
        <f>IFERROR(VLOOKUP(CO22,教师安排!$A:$Y,CO$2+1,FALSE),"")</f>
        <v/>
      </c>
      <c r="CP23" s="126" t="str">
        <f>IFERROR(VLOOKUP(CP22,教师安排!$A:$Y,CP$2+1,FALSE),"")</f>
        <v/>
      </c>
      <c r="CQ23" s="126"/>
      <c r="CR23" s="126" t="str">
        <f>IFERROR(VLOOKUP(CR22,教师安排!$A:$Y,CR$2+1,FALSE),"")</f>
        <v/>
      </c>
      <c r="CS23" s="126" t="str">
        <f>IFERROR(VLOOKUP(CS22,教师安排!$A:$Y,CS$2+1,FALSE),"")</f>
        <v/>
      </c>
      <c r="CT23" s="126" t="str">
        <f>IFERROR(VLOOKUP(CT22,教师安排!$A:$Y,CT$2+1,FALSE),"")</f>
        <v/>
      </c>
      <c r="CU23" s="125" t="str">
        <f>IFERROR(VLOOKUP(CU22,教师安排!$A:$Y,CU$2+1,FALSE),"")</f>
        <v>周兴玲</v>
      </c>
      <c r="CV23" s="125" t="str">
        <f>IFERROR(VLOOKUP(CV22,教师安排!$A:$Y,CV$2+1,FALSE),"")</f>
        <v>王庆超</v>
      </c>
      <c r="CW23" s="125" t="str">
        <f>IFERROR(VLOOKUP(CW22,教师安排!$A:$Y,CW$2+1,FALSE),"")</f>
        <v>张苏</v>
      </c>
      <c r="CX23" s="125" t="str">
        <f>IFERROR(VLOOKUP(CX22,教师安排!$A:$Y,CX$2+1,FALSE),"")</f>
        <v>李雯</v>
      </c>
      <c r="CY23" s="125" t="str">
        <f>IFERROR(VLOOKUP(CY22,教师安排!$A:$Y,CY$2+1,FALSE),"")</f>
        <v>刘腾</v>
      </c>
      <c r="CZ23" s="125" t="str">
        <f>IFERROR(VLOOKUP(CZ22,教师安排!$A:$Y,CZ$2+1,FALSE),"")</f>
        <v>孙存义</v>
      </c>
      <c r="DA23" s="125" t="str">
        <f>IFERROR(VLOOKUP(DA22,教师安排!$A:$Y,DA$2+1,FALSE),"")</f>
        <v>孙锦锦</v>
      </c>
      <c r="DB23" s="125" t="str">
        <f>IFERROR(VLOOKUP(DB22,教师安排!$A:$Y,DB$2+1,FALSE),"")</f>
        <v>孙秋杰</v>
      </c>
      <c r="DC23" s="125" t="str">
        <f>IFERROR(VLOOKUP(DC22,教师安排!$A:$Y,DC$2+1,FALSE),"")</f>
        <v>王硕</v>
      </c>
      <c r="DD23" s="125" t="str">
        <f>IFERROR(VLOOKUP(DD22,教师安排!$A:$Y,DD$2+1,FALSE),"")</f>
        <v>刘天骄</v>
      </c>
      <c r="DE23" s="125" t="str">
        <f>IFERROR(VLOOKUP(DE22,教师安排!$A:$Y,DE$2+1,FALSE),"")</f>
        <v>路睿</v>
      </c>
      <c r="DF23" s="125">
        <f>IFERROR(VLOOKUP(DF22,教师安排!$A:$Y,DF$2+1,FALSE),"")</f>
        <v>0</v>
      </c>
      <c r="DG23" s="125" t="str">
        <f>IFERROR(VLOOKUP(DG22,教师安排!$A:$Y,DG$2+1,FALSE),"")</f>
        <v>孙显阳</v>
      </c>
      <c r="DH23" s="125" t="str">
        <f>IFERROR(VLOOKUP(DH22,教师安排!$A:$Y,DH$2+1,FALSE),"")</f>
        <v>李浩然</v>
      </c>
      <c r="DI23" s="125" t="str">
        <f>IFERROR(VLOOKUP(DI22,教师安排!$A:$Y,DI$2+1,FALSE),"")</f>
        <v>袁奇</v>
      </c>
      <c r="DJ23" s="125" t="str">
        <f>IFERROR(VLOOKUP(DJ22,教师安排!$A:$Y,DJ$2+1,FALSE),"")</f>
        <v/>
      </c>
      <c r="DK23" s="125" t="str">
        <f>IFERROR(VLOOKUP(DK22,教师安排!$A:$Y,DK$2+1,FALSE),"")</f>
        <v/>
      </c>
      <c r="DL23" s="125" t="str">
        <f>IFERROR(VLOOKUP(DL22,教师安排!$A:$Y,DL$2+1,FALSE),"")</f>
        <v/>
      </c>
      <c r="DM23" s="125" t="str">
        <f>IFERROR(VLOOKUP(DM22,教师安排!$A:$Y,DM$2+1,FALSE),"")</f>
        <v/>
      </c>
      <c r="DN23" s="125"/>
      <c r="DO23" s="125" t="str">
        <f>IFERROR(VLOOKUP(DO22,教师安排!$A:$Y,DO$2+1,FALSE),"")</f>
        <v/>
      </c>
      <c r="DP23" s="125" t="str">
        <f>IFERROR(VLOOKUP(DP22,教师安排!$A:$Y,DP$2+1,FALSE),"")</f>
        <v/>
      </c>
      <c r="DQ23" s="125" t="str">
        <f>IFERROR(VLOOKUP(DQ22,教师安排!$A:$Y,DQ$2+1,FALSE),"")</f>
        <v/>
      </c>
      <c r="DR23" s="125" t="str">
        <f>IFERROR(VLOOKUP(DR22,教师安排!$A:$Y,DR$2+1,FALSE),"")</f>
        <v/>
      </c>
      <c r="DS23" s="124" t="str">
        <f>IFERROR(VLOOKUP(DS22,教师安排!$A:$Y,DS$2+1,FALSE),"")</f>
        <v>周兴玲</v>
      </c>
      <c r="DT23" s="124" t="str">
        <f>IFERROR(VLOOKUP(DT22,教师安排!$A:$Y,DT$2+1,FALSE),"")</f>
        <v>李会玲</v>
      </c>
      <c r="DU23" s="124" t="str">
        <f>IFERROR(VLOOKUP(DU22,教师安排!$A:$Y,DU$2+1,FALSE),"")</f>
        <v>张雯皓</v>
      </c>
      <c r="DV23" s="124" t="str">
        <f>IFERROR(VLOOKUP(DV22,教师安排!$A:$Y,DV$2+1,FALSE),"")</f>
        <v>李雯</v>
      </c>
      <c r="DW23" s="124" t="str">
        <f>IFERROR(VLOOKUP(DW22,教师安排!$A:$Y,DW$2+1,FALSE),"")</f>
        <v>赵雪敏</v>
      </c>
      <c r="DX23" s="124" t="str">
        <f>IFERROR(VLOOKUP(DX22,教师安排!$A:$Y,DX$2+1,FALSE),"")</f>
        <v>王露</v>
      </c>
      <c r="DY23" s="124" t="str">
        <f>IFERROR(VLOOKUP(DY22,教师安排!$A:$Y,DY$2+1,FALSE),"")</f>
        <v>孙存义</v>
      </c>
      <c r="DZ23" s="124" t="str">
        <f>IFERROR(VLOOKUP(DZ22,教师安排!$A:$Y,DZ$2+1,FALSE),"")</f>
        <v>宋开元</v>
      </c>
      <c r="EA23" s="124" t="str">
        <f>IFERROR(VLOOKUP(EA22,教师安排!$A:$Y,EA$2+1,FALSE),"")</f>
        <v>张冰雪</v>
      </c>
      <c r="EB23" s="124" t="str">
        <f>IFERROR(VLOOKUP(EB22,教师安排!$A:$Y,EB$2+1,FALSE),"")</f>
        <v>孙娜</v>
      </c>
      <c r="EC23" s="124" t="str">
        <f>IFERROR(VLOOKUP(EC22,教师安排!$A:$Y,EC$2+1,FALSE),"")</f>
        <v>田凤美</v>
      </c>
      <c r="ED23" s="124">
        <f>IFERROR(VLOOKUP(ED22,教师安排!$A:$Y,ED$2+1,FALSE),"")</f>
        <v>0</v>
      </c>
      <c r="EE23" s="124" t="str">
        <f>IFERROR(VLOOKUP(EE22,教师安排!$A:$Y,EE$2+1,FALSE),"")</f>
        <v>王硕</v>
      </c>
      <c r="EF23" s="124" t="str">
        <f>IFERROR(VLOOKUP(EF22,教师安排!$A:$Y,EF$2+1,FALSE),"")</f>
        <v>董艳华</v>
      </c>
      <c r="EG23" s="124" t="str">
        <f>IFERROR(VLOOKUP(EG22,教师安排!$A:$Y,EG$2+1,FALSE),"")</f>
        <v>路睿</v>
      </c>
      <c r="EH23" s="124" t="str">
        <f>IFERROR(VLOOKUP(EH22,教师安排!$A:$Y,EH$2+1,FALSE),"")</f>
        <v/>
      </c>
      <c r="EI23" s="124" t="str">
        <f>IFERROR(VLOOKUP(EI22,教师安排!$A:$Y,EI$2+1,FALSE),"")</f>
        <v/>
      </c>
      <c r="EJ23" s="124" t="str">
        <f>IFERROR(VLOOKUP(EJ22,教师安排!$A:$Y,EJ$2+1,FALSE),"")</f>
        <v/>
      </c>
      <c r="EK23" s="124" t="str">
        <f>IFERROR(VLOOKUP(EK22,教师安排!$A:$Y,EK$2+1,FALSE),"")</f>
        <v/>
      </c>
      <c r="EL23" s="124"/>
      <c r="EM23" s="124" t="str">
        <f>IFERROR(VLOOKUP(EM22,教师安排!$A:$Y,EM$2+1,FALSE),"")</f>
        <v/>
      </c>
      <c r="EN23" s="124" t="str">
        <f>IFERROR(VLOOKUP(EN22,教师安排!$A:$Y,EN$2+1,FALSE),"")</f>
        <v/>
      </c>
      <c r="EO23" s="124" t="str">
        <f>IFERROR(VLOOKUP(EO22,教师安排!$A:$Y,EO$2+1,FALSE),"")</f>
        <v/>
      </c>
      <c r="EP23" s="124" t="str">
        <f>IFERROR(VLOOKUP(EP22,教师安排!$A:$Y,EP$2+1,FALSE),"")</f>
        <v/>
      </c>
      <c r="EQ23" s="123" t="str">
        <f>IFERROR(VLOOKUP(EQ22,教师安排!$A:$Y,EQ$2+1,FALSE),"")</f>
        <v>杨彬</v>
      </c>
      <c r="ER23" s="123" t="str">
        <f>IFERROR(VLOOKUP(ER22,教师安排!$A:$Y,ER$2+1,FALSE),"")</f>
        <v>岳/厉</v>
      </c>
      <c r="ES23" s="123" t="str">
        <f>IFERROR(VLOOKUP(ES22,教师安排!$A:$Y,ES$2+1,FALSE),"")</f>
        <v>岳/厉</v>
      </c>
      <c r="ET23" s="123" t="str">
        <f>IFERROR(VLOOKUP(ET22,教师安排!$A:$Y,ET$2+1,FALSE),"")</f>
        <v>史振塞</v>
      </c>
      <c r="EU23" s="123" t="str">
        <f>IFERROR(VLOOKUP(EU22,教师安排!$A:$Y,EU$2+1,FALSE),"")</f>
        <v>刘腾</v>
      </c>
      <c r="EV23" s="123" t="str">
        <f>IFERROR(VLOOKUP(EV22,教师安排!$A:$Y,EV$2+1,FALSE),"")</f>
        <v>李振铎</v>
      </c>
      <c r="EW23" s="123" t="str">
        <f>IFERROR(VLOOKUP(EW22,教师安排!$A:$Y,EW$2+1,FALSE),"")</f>
        <v>孙锦锦</v>
      </c>
      <c r="EX23" s="123" t="str">
        <f>IFERROR(VLOOKUP(EX22,教师安排!$A:$Y,EX$2+1,FALSE),"")</f>
        <v>康波</v>
      </c>
      <c r="EY23" s="123" t="str">
        <f>IFERROR(VLOOKUP(EY22,教师安排!$A:$Y,EY$2+1,FALSE),"")</f>
        <v>王灼</v>
      </c>
      <c r="EZ23" s="123" t="str">
        <f>IFERROR(VLOOKUP(EZ22,教师安排!$A:$Y,EZ$2+1,FALSE),"")</f>
        <v>蒋心言</v>
      </c>
      <c r="FA23" s="123" t="str">
        <f>IFERROR(VLOOKUP(FA22,教师安排!$A:$Y,FA$2+1,FALSE),"")</f>
        <v>路睿</v>
      </c>
      <c r="FB23" s="123">
        <f>IFERROR(VLOOKUP(FB22,教师安排!$A:$Y,FB$2+1,FALSE),"")</f>
        <v>0</v>
      </c>
      <c r="FC23" s="123" t="str">
        <f>IFERROR(VLOOKUP(FC22,教师安排!$A:$Y,FC$2+1,FALSE),"")</f>
        <v>王硕</v>
      </c>
      <c r="FD23" s="123" t="str">
        <f>IFERROR(VLOOKUP(FD22,教师安排!$A:$Y,FD$2+1,FALSE),"")</f>
        <v>李浩然</v>
      </c>
      <c r="FE23" s="123" t="str">
        <f>IFERROR(VLOOKUP(FE22,教师安排!$A:$Y,FE$2+1,FALSE),"")</f>
        <v>张鑫</v>
      </c>
      <c r="FF23" s="123" t="str">
        <f>IFERROR(VLOOKUP(FF22,教师安排!$A:$Y,FF$2+1,FALSE),"")</f>
        <v/>
      </c>
      <c r="FG23" s="123" t="str">
        <f>IFERROR(VLOOKUP(FG22,教师安排!$A:$Y,FG$2+1,FALSE),"")</f>
        <v>岳海霞</v>
      </c>
      <c r="FH23" s="123" t="str">
        <f>IFERROR(VLOOKUP(FH22,教师安排!$A:$Y,FH$2+1,FALSE),"")</f>
        <v/>
      </c>
      <c r="FI23" s="123" t="str">
        <f>IFERROR(VLOOKUP(FI22,教师安排!$A:$Y,FI$2+1,FALSE),"")</f>
        <v>厉彦龙</v>
      </c>
      <c r="FJ23" s="123"/>
      <c r="FK23" s="123" t="str">
        <f>IFERROR(VLOOKUP(FK22,教师安排!$A:$Y,FK$2+1,FALSE),"")</f>
        <v/>
      </c>
      <c r="FL23" s="123" t="str">
        <f>IFERROR(VLOOKUP(FL22,教师安排!$A:$Y,FL$2+1,FALSE),"")</f>
        <v/>
      </c>
      <c r="FM23" s="123" t="str">
        <f>IFERROR(VLOOKUP(FM22,教师安排!$A:$Y,FM$2+1,FALSE),"")</f>
        <v/>
      </c>
      <c r="FN23" s="123" t="str">
        <f>IFERROR(VLOOKUP(FN22,教师安排!$A:$Y,FN$2+1,FALSE),"")</f>
        <v/>
      </c>
      <c r="FO23" s="126" t="str">
        <f>IFERROR(VLOOKUP(FO22,教师安排!$A:$Y,FO$2+1,FALSE),"")</f>
        <v>侯淑贤</v>
      </c>
      <c r="FP23" s="126" t="str">
        <f>IFERROR(VLOOKUP(FP22,教师安排!$A:$Y,FP$2+1,FALSE),"")</f>
        <v>岳/厉</v>
      </c>
      <c r="FQ23" s="126" t="str">
        <f>IFERROR(VLOOKUP(FQ22,教师安排!$A:$Y,FQ$2+1,FALSE),"")</f>
        <v>岳/厉</v>
      </c>
      <c r="FR23" s="126" t="str">
        <f>IFERROR(VLOOKUP(FR22,教师安排!$A:$Y,FR$2+1,FALSE),"")</f>
        <v>李会玲</v>
      </c>
      <c r="FS23" s="126" t="str">
        <f>IFERROR(VLOOKUP(FS22,教师安排!$A:$Y,FS$2+1,FALSE),"")</f>
        <v>张冰雪</v>
      </c>
      <c r="FT23" s="126" t="str">
        <f>IFERROR(VLOOKUP(FT22,教师安排!$A:$Y,FT$2+1,FALSE),"")</f>
        <v>蒋心言</v>
      </c>
      <c r="FU23" s="126" t="str">
        <f>IFERROR(VLOOKUP(FU22,教师安排!$A:$Y,FU$2+1,FALSE),"")</f>
        <v>王雪莲</v>
      </c>
      <c r="FV23" s="126" t="str">
        <f>IFERROR(VLOOKUP(FV22,教师安排!$A:$Y,FV$2+1,FALSE),"")</f>
        <v>高文凤</v>
      </c>
      <c r="FW23" s="126" t="str">
        <f>IFERROR(VLOOKUP(FW22,教师安排!$A:$Y,FW$2+1,FALSE),"")</f>
        <v>王灼</v>
      </c>
      <c r="FX23" s="126" t="str">
        <f>IFERROR(VLOOKUP(FX22,教师安排!$A:$Y,FX$2+1,FALSE),"")</f>
        <v>胡存想</v>
      </c>
      <c r="FY23" s="126" t="str">
        <f>IFERROR(VLOOKUP(FY22,教师安排!$A:$Y,FY$2+1,FALSE),"")</f>
        <v>路睿</v>
      </c>
      <c r="FZ23" s="126">
        <f>IFERROR(VLOOKUP(FZ22,教师安排!$A:$Y,FZ$2+1,FALSE),"")</f>
        <v>0</v>
      </c>
      <c r="GA23" s="126" t="str">
        <f>IFERROR(VLOOKUP(GA22,教师安排!$A:$Y,GA$2+1,FALSE),"")</f>
        <v>袁奇</v>
      </c>
      <c r="GB23" s="126" t="str">
        <f>IFERROR(VLOOKUP(GB22,教师安排!$A:$Y,GB$2+1,FALSE),"")</f>
        <v>孙锦锦</v>
      </c>
      <c r="GC23" s="126" t="str">
        <f>IFERROR(VLOOKUP(GC22,教师安排!$A:$Y,GC$2+1,FALSE),"")</f>
        <v>孙显阳</v>
      </c>
      <c r="GD23" s="126" t="str">
        <f>IFERROR(VLOOKUP(GD22,教师安排!$A:$Y,GD$2+1,FALSE),"")</f>
        <v/>
      </c>
      <c r="GE23" s="126" t="str">
        <f>IFERROR(VLOOKUP(GE22,教师安排!$A:$Y,GE$2+1,FALSE),"")</f>
        <v>岳海霞</v>
      </c>
      <c r="GF23" s="126" t="str">
        <f>IFERROR(VLOOKUP(GF22,教师安排!$A:$Y,GF$2+1,FALSE),"")</f>
        <v/>
      </c>
      <c r="GG23" s="126" t="str">
        <f>IFERROR(VLOOKUP(GG22,教师安排!$A:$Y,GG$2+1,FALSE),"")</f>
        <v>厉彦龙</v>
      </c>
      <c r="GH23" s="126"/>
      <c r="GI23" s="126" t="str">
        <f>IFERROR(VLOOKUP(GI22,教师安排!$A:$Y,GI$2+1,FALSE),"")</f>
        <v/>
      </c>
      <c r="GJ23" s="126" t="str">
        <f>IFERROR(VLOOKUP(GJ22,教师安排!$A:$Y,GJ$2+1,FALSE),"")</f>
        <v/>
      </c>
      <c r="GK23" s="126" t="str">
        <f>IFERROR(VLOOKUP(GK22,教师安排!$A:$Y,GK$2+1,FALSE),"")</f>
        <v/>
      </c>
      <c r="GL23" s="126" t="str">
        <f>IFERROR(VLOOKUP(GL22,教师安排!$A:$Y,GL$2+1,FALSE),"")</f>
        <v/>
      </c>
      <c r="GM23" s="125" t="str">
        <f>IFERROR(VLOOKUP(GM22,教师安排!$A:$Y,GM$2+1,FALSE),"")</f>
        <v>杨彬</v>
      </c>
      <c r="GN23" s="125" t="str">
        <f>IFERROR(VLOOKUP(GN22,教师安排!$A:$Y,GN$2+1,FALSE),"")</f>
        <v>刘珊珊</v>
      </c>
      <c r="GO23" s="125" t="str">
        <f>IFERROR(VLOOKUP(GO22,教师安排!$A:$Y,GO$2+1,FALSE),"")</f>
        <v>李雯</v>
      </c>
      <c r="GP23" s="125">
        <f>IFERROR(VLOOKUP(GP22,教师安排!$A:$Y,GP$2+1,FALSE),"")</f>
        <v>0</v>
      </c>
      <c r="GQ23" s="125" t="str">
        <f>IFERROR(VLOOKUP(GQ22,教师安排!$A:$Y,GQ$2+1,FALSE),"")</f>
        <v>赵雪敏</v>
      </c>
      <c r="GR23" s="125" t="str">
        <f>IFERROR(VLOOKUP(GR22,教师安排!$A:$Y,GR$2+1,FALSE),"")</f>
        <v>蒋心言</v>
      </c>
      <c r="GS23" s="125" t="str">
        <f>IFERROR(VLOOKUP(GS22,教师安排!$A:$Y,GS$2+1,FALSE),"")</f>
        <v>袁奇</v>
      </c>
      <c r="GT23" s="125" t="str">
        <f>IFERROR(VLOOKUP(GT22,教师安排!$A:$Y,GT$2+1,FALSE),"")</f>
        <v>刘天骄</v>
      </c>
      <c r="GU23" s="125" t="str">
        <f>IFERROR(VLOOKUP(GU22,教师安排!$A:$Y,GU$2+1,FALSE),"")</f>
        <v>孙显阳</v>
      </c>
      <c r="GV23" s="125" t="str">
        <f>IFERROR(VLOOKUP(GV22,教师安排!$A:$Y,GV$2+1,FALSE),"")</f>
        <v>王菲</v>
      </c>
      <c r="GW23" s="125" t="str">
        <f>IFERROR(VLOOKUP(GW22,教师安排!$A:$Y,GW$2+1,FALSE),"")</f>
        <v>张雯皓</v>
      </c>
      <c r="GX23" s="125">
        <f>IFERROR(VLOOKUP(GX22,教师安排!$A:$Y,GX$2+1,FALSE),"")</f>
        <v>0</v>
      </c>
      <c r="GY23" s="125" t="str">
        <f>IFERROR(VLOOKUP(GY22,教师安排!$A:$Y,GY$2+1,FALSE),"")</f>
        <v>夏文杰</v>
      </c>
      <c r="GZ23" s="125" t="str">
        <f>IFERROR(VLOOKUP(GZ22,教师安排!$A:$Y,GZ$2+1,FALSE),"")</f>
        <v>李浩然</v>
      </c>
      <c r="HA23" s="125" t="str">
        <f>IFERROR(VLOOKUP(HA22,教师安排!$A:$Y,HA$2+1,FALSE),"")</f>
        <v>路睿</v>
      </c>
      <c r="HB23" s="125" t="str">
        <f>IFERROR(VLOOKUP(HB22,教师安排!$A:$Y,HB$2+1,FALSE),"")</f>
        <v/>
      </c>
      <c r="HC23" s="125" t="str">
        <f>IFERROR(VLOOKUP(HC22,教师安排!$A:$Y,HC$2+1,FALSE),"")</f>
        <v/>
      </c>
      <c r="HD23" s="125" t="str">
        <f>IFERROR(VLOOKUP(HD22,教师安排!$A:$Y,HD$2+1,FALSE),"")</f>
        <v/>
      </c>
      <c r="HE23" s="125" t="str">
        <f>IFERROR(VLOOKUP(HE22,教师安排!$A:$Y,HE$2+1,FALSE),"")</f>
        <v/>
      </c>
      <c r="HF23" s="125"/>
      <c r="HG23" s="125" t="str">
        <f>IFERROR(VLOOKUP(HG22,教师安排!$A:$Y,HG$2+1,FALSE),"")</f>
        <v/>
      </c>
      <c r="HH23" s="125" t="str">
        <f>IFERROR(VLOOKUP(HH22,教师安排!$A:$Y,HH$2+1,FALSE),"")</f>
        <v/>
      </c>
      <c r="HI23" s="125" t="str">
        <f>IFERROR(VLOOKUP(HI22,教师安排!$A:$Y,HI$2+1,FALSE),"")</f>
        <v/>
      </c>
      <c r="HJ23" s="125" t="str">
        <f>IFERROR(VLOOKUP(HJ22,教师安排!$A:$Y,HJ$2+1,FALSE),"")</f>
        <v/>
      </c>
      <c r="HK23" s="126" t="str">
        <f>IFERROR(VLOOKUP(HK22,教师安排!$A:$Y,HK$2+1,FALSE),"")</f>
        <v>李会玲</v>
      </c>
      <c r="HL23" s="126" t="str">
        <f>IFERROR(VLOOKUP(HL22,教师安排!$A:$Y,HL$2+1,FALSE),"")</f>
        <v>史振塞</v>
      </c>
      <c r="HM23" s="126" t="str">
        <f>IFERROR(VLOOKUP(HM22,教师安排!$A:$Y,HM$2+1,FALSE),"")</f>
        <v>李雯</v>
      </c>
      <c r="HN23" s="126" t="str">
        <f>IFERROR(VLOOKUP(HN22,教师安排!$A:$Y,HN$2+1,FALSE),"")</f>
        <v>王庆超</v>
      </c>
      <c r="HO23" s="126" t="str">
        <f>IFERROR(VLOOKUP(HO22,教师安排!$A:$Y,HO$2+1,FALSE),"")</f>
        <v>孙显阳</v>
      </c>
      <c r="HP23" s="126" t="str">
        <f>IFERROR(VLOOKUP(HP22,教师安排!$A:$Y,HP$2+1,FALSE),"")</f>
        <v>张喆</v>
      </c>
      <c r="HQ23" s="126" t="str">
        <f>IFERROR(VLOOKUP(HQ22,教师安排!$A:$Y,HQ$2+1,FALSE),"")</f>
        <v>孙锦锦</v>
      </c>
      <c r="HR23" s="126" t="str">
        <f>IFERROR(VLOOKUP(HR22,教师安排!$A:$Y,HR$2+1,FALSE),"")</f>
        <v>高文凤</v>
      </c>
      <c r="HS23" s="126" t="str">
        <f>IFERROR(VLOOKUP(HS22,教师安排!$A:$Y,HS$2+1,FALSE),"")</f>
        <v>张冰雪</v>
      </c>
      <c r="HT23" s="126" t="str">
        <f>IFERROR(VLOOKUP(HT22,教师安排!$A:$Y,HT$2+1,FALSE),"")</f>
        <v>孙娜</v>
      </c>
      <c r="HU23" s="126" t="str">
        <f>IFERROR(VLOOKUP(HU22,教师安排!$A:$Y,HU$2+1,FALSE),"")</f>
        <v>路睿</v>
      </c>
      <c r="HV23" s="126">
        <f>IFERROR(VLOOKUP(HV22,教师安排!$A:$Y,HV$2+1,FALSE),"")</f>
        <v>0</v>
      </c>
      <c r="HW23" s="126" t="str">
        <f>IFERROR(VLOOKUP(HW22,教师安排!$A:$Y,HW$2+1,FALSE),"")</f>
        <v>王硕</v>
      </c>
      <c r="HX23" s="126" t="str">
        <f>IFERROR(VLOOKUP(HX22,教师安排!$A:$Y,HX$2+1,FALSE),"")</f>
        <v>李浩然</v>
      </c>
      <c r="HY23" s="126" t="str">
        <f>IFERROR(VLOOKUP(HY22,教师安排!$A:$Y,HY$2+1,FALSE),"")</f>
        <v>袁奇</v>
      </c>
      <c r="HZ23" s="126" t="str">
        <f>IFERROR(VLOOKUP(HZ22,教师安排!$A:$Y,HZ$2+1,FALSE),"")</f>
        <v/>
      </c>
      <c r="IA23" s="126" t="str">
        <f>IFERROR(VLOOKUP(IA22,教师安排!$A:$Y,IA$2+1,FALSE),"")</f>
        <v/>
      </c>
      <c r="IB23" s="126" t="str">
        <f>IFERROR(VLOOKUP(IB22,教师安排!$A:$Y,IB$2+1,FALSE),"")</f>
        <v/>
      </c>
      <c r="IC23" s="126" t="str">
        <f>IFERROR(VLOOKUP(IC22,教师安排!$A:$Y,IC$2+1,FALSE),"")</f>
        <v/>
      </c>
      <c r="ID23" s="126"/>
      <c r="IE23" s="126" t="str">
        <f>IFERROR(VLOOKUP(IE22,教师安排!$A:$Y,IE$2+1,FALSE),"")</f>
        <v/>
      </c>
      <c r="IF23" s="126" t="str">
        <f>IFERROR(VLOOKUP(IF22,教师安排!$A:$Y,IF$2+1,FALSE),"")</f>
        <v/>
      </c>
      <c r="IG23" s="126" t="str">
        <f>IFERROR(VLOOKUP(IG22,教师安排!$A:$Y,IG$2+1,FALSE),"")</f>
        <v/>
      </c>
      <c r="IH23" s="126" t="str">
        <f>IFERROR(VLOOKUP(IH22,教师安排!$A:$Y,IH$2+1,FALSE),"")</f>
        <v/>
      </c>
      <c r="II23" s="125" t="str">
        <f>IFERROR(VLOOKUP(II22,教师安排!$A:$Y,II$2+1,FALSE),"")</f>
        <v>周兴玲</v>
      </c>
      <c r="IJ23" s="125" t="str">
        <f>IFERROR(VLOOKUP(IJ22,教师安排!$A:$Y,IJ$2+1,FALSE),"")</f>
        <v>田凤美</v>
      </c>
      <c r="IK23" s="125" t="str">
        <f>IFERROR(VLOOKUP(IK22,教师安排!$A:$Y,IK$2+1,FALSE),"")</f>
        <v>李会玲</v>
      </c>
      <c r="IL23" s="125">
        <f>IFERROR(VLOOKUP(IL22,教师安排!$A:$Y,IL$2+1,FALSE),"")</f>
        <v>0</v>
      </c>
      <c r="IM23" s="125" t="str">
        <f>IFERROR(VLOOKUP(IM22,教师安排!$A:$Y,IM$2+1,FALSE),"")</f>
        <v>王灼</v>
      </c>
      <c r="IN23" s="125" t="str">
        <f>IFERROR(VLOOKUP(IN22,教师安排!$A:$Y,IN$2+1,FALSE),"")</f>
        <v>孙存义</v>
      </c>
      <c r="IO23" s="125" t="str">
        <f>IFERROR(VLOOKUP(IO22,教师安排!$A:$Y,IO$2+1,FALSE),"")</f>
        <v>韩丽梅</v>
      </c>
      <c r="IP23" s="125" t="str">
        <f>IFERROR(VLOOKUP(IP22,教师安排!$A:$Y,IP$2+1,FALSE),"")</f>
        <v>宋平</v>
      </c>
      <c r="IQ23" s="125" t="str">
        <f>IFERROR(VLOOKUP(IQ22,教师安排!$A:$Y,IQ$2+1,FALSE),"")</f>
        <v>袁奇</v>
      </c>
      <c r="IR23" s="125" t="str">
        <f>IFERROR(VLOOKUP(IR22,教师安排!$A:$Y,IR$2+1,FALSE),"")</f>
        <v>孙秋杰</v>
      </c>
      <c r="IS23" s="125" t="str">
        <f>IFERROR(VLOOKUP(IS22,教师安排!$A:$Y,IS$2+1,FALSE),"")</f>
        <v>范林林</v>
      </c>
      <c r="IT23" s="125">
        <f>IFERROR(VLOOKUP(IT22,教师安排!$A:$Y,IT$2+1,FALSE),"")</f>
        <v>0</v>
      </c>
      <c r="IU23" s="125" t="str">
        <f>IFERROR(VLOOKUP(IU22,教师安排!$A:$Y,IU$2+1,FALSE),"")</f>
        <v>王硕</v>
      </c>
      <c r="IV23" s="125" t="str">
        <f>IFERROR(VLOOKUP(IV22,教师安排!$A:$Y,IV$2+1,FALSE),"")</f>
        <v>张喆</v>
      </c>
      <c r="IW23" s="125" t="str">
        <f>IFERROR(VLOOKUP(IW22,教师安排!$A:$Y,IW$2+1,FALSE),"")</f>
        <v>孙显阳</v>
      </c>
      <c r="IX23" s="125" t="str">
        <f>IFERROR(VLOOKUP(IX22,教师安排!$A:$Y,IX$2+1,FALSE),"")</f>
        <v/>
      </c>
      <c r="IY23" s="125" t="str">
        <f>IFERROR(VLOOKUP(IY22,教师安排!$A:$Y,IY$2+1,FALSE),"")</f>
        <v/>
      </c>
      <c r="IZ23" s="125" t="str">
        <f>IFERROR(VLOOKUP(IZ22,教师安排!$A:$Y,IZ$2+1,FALSE),"")</f>
        <v/>
      </c>
      <c r="JA23" s="125" t="str">
        <f>IFERROR(VLOOKUP(JA22,教师安排!$A:$Y,JA$2+1,FALSE),"")</f>
        <v/>
      </c>
      <c r="JB23" s="125"/>
      <c r="JC23" s="125" t="str">
        <f>IFERROR(VLOOKUP(JC22,教师安排!$A:$Y,JC$2+1,FALSE),"")</f>
        <v/>
      </c>
      <c r="JD23" s="125" t="str">
        <f>IFERROR(VLOOKUP(JD22,教师安排!$A:$Y,JD$2+1,FALSE),"")</f>
        <v/>
      </c>
      <c r="JE23" s="125" t="str">
        <f>IFERROR(VLOOKUP(JE22,教师安排!$A:$Y,JE$2+1,FALSE),"")</f>
        <v/>
      </c>
      <c r="JF23" s="125" t="str">
        <f>IFERROR(VLOOKUP(JF22,教师安排!$A:$Y,JF$2+1,FALSE),"")</f>
        <v/>
      </c>
      <c r="JG23" s="126" t="str">
        <f>IFERROR(VLOOKUP(JG22,教师安排!$A:$Y,JG$2+1,FALSE),"")</f>
        <v>周兴玲</v>
      </c>
      <c r="JH23" s="126" t="str">
        <f>IFERROR(VLOOKUP(JH22,教师安排!$A:$Y,JH$2+1,FALSE),"")</f>
        <v>王庆超</v>
      </c>
      <c r="JI23" s="126" t="str">
        <f>IFERROR(VLOOKUP(JI22,教师安排!$A:$Y,JI$2+1,FALSE),"")</f>
        <v>张苏</v>
      </c>
      <c r="JJ23" s="126" t="str">
        <f>IFERROR(VLOOKUP(JJ22,教师安排!$A:$Y,JJ$2+1,FALSE),"")</f>
        <v>李雯</v>
      </c>
      <c r="JK23" s="126" t="str">
        <f>IFERROR(VLOOKUP(JK22,教师安排!$A:$Y,JK$2+1,FALSE),"")</f>
        <v>刘腾</v>
      </c>
      <c r="JL23" s="126" t="str">
        <f>IFERROR(VLOOKUP(JL22,教师安排!$A:$Y,JL$2+1,FALSE),"")</f>
        <v>孙存义</v>
      </c>
      <c r="JM23" s="126" t="str">
        <f>IFERROR(VLOOKUP(JM22,教师安排!$A:$Y,JM$2+1,FALSE),"")</f>
        <v>孙锦锦</v>
      </c>
      <c r="JN23" s="126" t="str">
        <f>IFERROR(VLOOKUP(JN22,教师安排!$A:$Y,JN$2+1,FALSE),"")</f>
        <v>刘天骄</v>
      </c>
      <c r="JO23" s="126" t="str">
        <f>IFERROR(VLOOKUP(JO22,教师安排!$A:$Y,JO$2+1,FALSE),"")</f>
        <v>王硕</v>
      </c>
      <c r="JP23" s="126" t="str">
        <f>IFERROR(VLOOKUP(JP22,教师安排!$A:$Y,JP$2+1,FALSE),"")</f>
        <v>蒋心言</v>
      </c>
      <c r="JQ23" s="126" t="str">
        <f>IFERROR(VLOOKUP(JQ22,教师安排!$A:$Y,JQ$2+1,FALSE),"")</f>
        <v>路睿</v>
      </c>
      <c r="JR23" s="126">
        <f>IFERROR(VLOOKUP(JR22,教师安排!$A:$Y,JR$2+1,FALSE),"")</f>
        <v>0</v>
      </c>
      <c r="JS23" s="126" t="str">
        <f>IFERROR(VLOOKUP(JS22,教师安排!$A:$Y,JS$2+1,FALSE),"")</f>
        <v>孙显阳</v>
      </c>
      <c r="JT23" s="126" t="str">
        <f>IFERROR(VLOOKUP(JT22,教师安排!$A:$Y,JT$2+1,FALSE),"")</f>
        <v>李浩然</v>
      </c>
      <c r="JU23" s="126" t="str">
        <f>IFERROR(VLOOKUP(JU22,教师安排!$A:$Y,JU$2+1,FALSE),"")</f>
        <v>袁奇</v>
      </c>
      <c r="JV23" s="126" t="str">
        <f>IFERROR(VLOOKUP(JV22,教师安排!$A:$Y,JV$2+1,FALSE),"")</f>
        <v/>
      </c>
      <c r="JW23" s="126" t="str">
        <f>IFERROR(VLOOKUP(JW22,教师安排!$A:$Y,JW$2+1,FALSE),"")</f>
        <v/>
      </c>
      <c r="JX23" s="126" t="str">
        <f>IFERROR(VLOOKUP(JX22,教师安排!$A:$Y,JX$2+1,FALSE),"")</f>
        <v/>
      </c>
      <c r="JY23" s="126" t="str">
        <f>IFERROR(VLOOKUP(JY22,教师安排!$A:$Y,JY$2+1,FALSE),"")</f>
        <v/>
      </c>
      <c r="JZ23" s="126"/>
      <c r="KA23" s="126" t="str">
        <f>IFERROR(VLOOKUP(KA22,教师安排!$A:$Y,KA$2+1,FALSE),"")</f>
        <v/>
      </c>
      <c r="KB23" s="126" t="str">
        <f>IFERROR(VLOOKUP(KB22,教师安排!$A:$Y,KB$2+1,FALSE),"")</f>
        <v/>
      </c>
      <c r="KC23" s="126" t="str">
        <f>IFERROR(VLOOKUP(KC22,教师安排!$A:$Y,KC$2+1,FALSE),"")</f>
        <v/>
      </c>
      <c r="KD23" s="126" t="str">
        <f>IFERROR(VLOOKUP(KD22,教师安排!$A:$Y,KD$2+1,FALSE),"")</f>
        <v/>
      </c>
    </row>
    <row r="24" spans="1:290" s="117" customFormat="1" ht="18" customHeight="1" x14ac:dyDescent="0.3">
      <c r="A24" s="145"/>
      <c r="B24" s="143">
        <v>2</v>
      </c>
      <c r="C24" s="121" t="s">
        <v>42</v>
      </c>
      <c r="D24" s="121" t="s">
        <v>34</v>
      </c>
      <c r="E24" s="121" t="s">
        <v>26</v>
      </c>
      <c r="F24" s="121" t="s">
        <v>42</v>
      </c>
      <c r="G24" s="121" t="s">
        <v>34</v>
      </c>
      <c r="H24" s="121" t="s">
        <v>26</v>
      </c>
      <c r="I24" s="121" t="s">
        <v>34</v>
      </c>
      <c r="J24" s="121" t="s">
        <v>26</v>
      </c>
      <c r="K24" s="121" t="s">
        <v>76</v>
      </c>
      <c r="L24" s="121" t="s">
        <v>76</v>
      </c>
      <c r="M24" s="121" t="s">
        <v>76</v>
      </c>
      <c r="N24" s="121" t="s">
        <v>135</v>
      </c>
      <c r="O24" s="121" t="s">
        <v>26</v>
      </c>
      <c r="P24" s="121" t="s">
        <v>92</v>
      </c>
      <c r="Q24" s="121" t="s">
        <v>34</v>
      </c>
      <c r="R24" s="121" t="s">
        <v>136</v>
      </c>
      <c r="S24" s="121"/>
      <c r="T24" s="121" t="s">
        <v>138</v>
      </c>
      <c r="U24" s="121"/>
      <c r="V24" s="121"/>
      <c r="W24" s="121"/>
      <c r="X24" s="121"/>
      <c r="Y24" s="121"/>
      <c r="Z24" s="121"/>
      <c r="AA24" s="122" t="s">
        <v>34</v>
      </c>
      <c r="AB24" s="122" t="s">
        <v>42</v>
      </c>
      <c r="AC24" s="122" t="s">
        <v>42</v>
      </c>
      <c r="AD24" s="122" t="s">
        <v>134</v>
      </c>
      <c r="AE24" s="122" t="s">
        <v>26</v>
      </c>
      <c r="AF24" s="122" t="s">
        <v>26</v>
      </c>
      <c r="AG24" s="122" t="s">
        <v>34</v>
      </c>
      <c r="AH24" s="122" t="s">
        <v>34</v>
      </c>
      <c r="AI24" s="122" t="s">
        <v>34</v>
      </c>
      <c r="AJ24" s="122" t="s">
        <v>62</v>
      </c>
      <c r="AK24" s="122" t="s">
        <v>71</v>
      </c>
      <c r="AL24" s="122" t="s">
        <v>135</v>
      </c>
      <c r="AM24" s="122" t="s">
        <v>92</v>
      </c>
      <c r="AN24" s="122" t="s">
        <v>34</v>
      </c>
      <c r="AO24" s="122" t="s">
        <v>71</v>
      </c>
      <c r="AP24" s="122"/>
      <c r="AQ24" s="122" t="s">
        <v>136</v>
      </c>
      <c r="AR24" s="122"/>
      <c r="AS24" s="122" t="s">
        <v>138</v>
      </c>
      <c r="AT24" s="122"/>
      <c r="AU24" s="122"/>
      <c r="AV24" s="122"/>
      <c r="AW24" s="122"/>
      <c r="AX24" s="122"/>
      <c r="AY24" s="121" t="s">
        <v>26</v>
      </c>
      <c r="AZ24" s="121" t="s">
        <v>42</v>
      </c>
      <c r="BA24" s="121" t="s">
        <v>42</v>
      </c>
      <c r="BB24" s="121" t="s">
        <v>81</v>
      </c>
      <c r="BC24" s="121" t="s">
        <v>54</v>
      </c>
      <c r="BD24" s="121" t="s">
        <v>34</v>
      </c>
      <c r="BE24" s="121" t="s">
        <v>76</v>
      </c>
      <c r="BF24" s="121" t="s">
        <v>42</v>
      </c>
      <c r="BG24" s="121" t="s">
        <v>26</v>
      </c>
      <c r="BH24" s="121" t="s">
        <v>34</v>
      </c>
      <c r="BI24" s="121" t="s">
        <v>89</v>
      </c>
      <c r="BJ24" s="121" t="s">
        <v>135</v>
      </c>
      <c r="BK24" s="121" t="s">
        <v>66</v>
      </c>
      <c r="BL24" s="121" t="s">
        <v>71</v>
      </c>
      <c r="BM24" s="121" t="s">
        <v>34</v>
      </c>
      <c r="BN24" s="121"/>
      <c r="BO24" s="121" t="s">
        <v>136</v>
      </c>
      <c r="BP24" s="121" t="s">
        <v>138</v>
      </c>
      <c r="BQ24" s="121"/>
      <c r="BR24" s="121"/>
      <c r="BS24" s="121"/>
      <c r="BT24" s="121"/>
      <c r="BU24" s="121"/>
      <c r="BV24" s="121"/>
      <c r="BW24" s="122" t="s">
        <v>58</v>
      </c>
      <c r="BX24" s="122" t="s">
        <v>71</v>
      </c>
      <c r="BY24" s="122" t="s">
        <v>62</v>
      </c>
      <c r="BZ24" s="122" t="s">
        <v>134</v>
      </c>
      <c r="CA24" s="122" t="s">
        <v>92</v>
      </c>
      <c r="CB24" s="122" t="s">
        <v>42</v>
      </c>
      <c r="CC24" s="122" t="s">
        <v>42</v>
      </c>
      <c r="CD24" s="122" t="s">
        <v>42</v>
      </c>
      <c r="CE24" s="122" t="s">
        <v>62</v>
      </c>
      <c r="CF24" s="122" t="s">
        <v>34</v>
      </c>
      <c r="CG24" s="122" t="s">
        <v>71</v>
      </c>
      <c r="CH24" s="122" t="s">
        <v>135</v>
      </c>
      <c r="CI24" s="122" t="s">
        <v>66</v>
      </c>
      <c r="CJ24" s="122" t="s">
        <v>71</v>
      </c>
      <c r="CK24" s="122" t="s">
        <v>34</v>
      </c>
      <c r="CL24" s="122"/>
      <c r="CM24" s="122"/>
      <c r="CN24" s="122"/>
      <c r="CO24" s="122"/>
      <c r="CP24" s="122"/>
      <c r="CQ24" s="122"/>
      <c r="CR24" s="122"/>
      <c r="CS24" s="122"/>
      <c r="CT24" s="122"/>
      <c r="CU24" s="121" t="s">
        <v>71</v>
      </c>
      <c r="CV24" s="121" t="s">
        <v>58</v>
      </c>
      <c r="CW24" s="121" t="s">
        <v>66</v>
      </c>
      <c r="CX24" s="121" t="s">
        <v>62</v>
      </c>
      <c r="CY24" s="121" t="s">
        <v>62</v>
      </c>
      <c r="CZ24" s="121" t="s">
        <v>54</v>
      </c>
      <c r="DA24" s="121" t="s">
        <v>89</v>
      </c>
      <c r="DB24" s="121" t="s">
        <v>54</v>
      </c>
      <c r="DC24" s="121" t="s">
        <v>34</v>
      </c>
      <c r="DD24" s="121" t="s">
        <v>66</v>
      </c>
      <c r="DE24" s="121" t="s">
        <v>34</v>
      </c>
      <c r="DF24" s="121" t="s">
        <v>135</v>
      </c>
      <c r="DG24" s="121" t="s">
        <v>66</v>
      </c>
      <c r="DH24" s="121" t="s">
        <v>71</v>
      </c>
      <c r="DI24" s="121" t="s">
        <v>76</v>
      </c>
      <c r="DJ24" s="121"/>
      <c r="DK24" s="121"/>
      <c r="DL24" s="121"/>
      <c r="DM24" s="121"/>
      <c r="DN24" s="121"/>
      <c r="DO24" s="121"/>
      <c r="DP24" s="121"/>
      <c r="DQ24" s="121"/>
      <c r="DR24" s="121"/>
      <c r="DS24" s="122" t="s">
        <v>76</v>
      </c>
      <c r="DT24" s="122" t="s">
        <v>71</v>
      </c>
      <c r="DU24" s="122" t="s">
        <v>66</v>
      </c>
      <c r="DV24" s="122" t="s">
        <v>62</v>
      </c>
      <c r="DW24" s="122" t="s">
        <v>34</v>
      </c>
      <c r="DX24" s="122" t="s">
        <v>34</v>
      </c>
      <c r="DY24" s="122" t="s">
        <v>54</v>
      </c>
      <c r="DZ24" s="122" t="s">
        <v>34</v>
      </c>
      <c r="EA24" s="122" t="s">
        <v>76</v>
      </c>
      <c r="EB24" s="122" t="s">
        <v>66</v>
      </c>
      <c r="EC24" s="122" t="s">
        <v>66</v>
      </c>
      <c r="ED24" s="122" t="s">
        <v>135</v>
      </c>
      <c r="EE24" s="122" t="s">
        <v>71</v>
      </c>
      <c r="EF24" s="122" t="s">
        <v>76</v>
      </c>
      <c r="EG24" s="122" t="s">
        <v>26</v>
      </c>
      <c r="EH24" s="122"/>
      <c r="EI24" s="122"/>
      <c r="EJ24" s="122"/>
      <c r="EK24" s="122"/>
      <c r="EL24" s="122"/>
      <c r="EM24" s="122"/>
      <c r="EN24" s="122"/>
      <c r="EO24" s="122"/>
      <c r="EP24" s="122"/>
      <c r="EQ24" s="121" t="s">
        <v>42</v>
      </c>
      <c r="ER24" s="121" t="s">
        <v>71</v>
      </c>
      <c r="ES24" s="121" t="s">
        <v>26</v>
      </c>
      <c r="ET24" s="121" t="s">
        <v>42</v>
      </c>
      <c r="EU24" s="121" t="s">
        <v>62</v>
      </c>
      <c r="EV24" s="121" t="s">
        <v>58</v>
      </c>
      <c r="EW24" s="121" t="s">
        <v>76</v>
      </c>
      <c r="EX24" s="121" t="s">
        <v>54</v>
      </c>
      <c r="EY24" s="121" t="s">
        <v>42</v>
      </c>
      <c r="EZ24" s="121" t="s">
        <v>62</v>
      </c>
      <c r="FA24" s="121" t="s">
        <v>26</v>
      </c>
      <c r="FB24" s="121" t="s">
        <v>135</v>
      </c>
      <c r="FC24" s="121" t="s">
        <v>76</v>
      </c>
      <c r="FD24" s="121" t="s">
        <v>71</v>
      </c>
      <c r="FE24" s="121" t="s">
        <v>71</v>
      </c>
      <c r="FF24" s="121" t="s">
        <v>136</v>
      </c>
      <c r="FG24" s="121"/>
      <c r="FH24" s="121" t="s">
        <v>138</v>
      </c>
      <c r="FI24" s="121"/>
      <c r="FJ24" s="121"/>
      <c r="FK24" s="121"/>
      <c r="FL24" s="121"/>
      <c r="FM24" s="121"/>
      <c r="FN24" s="121"/>
      <c r="FO24" s="122" t="s">
        <v>42</v>
      </c>
      <c r="FP24" s="122" t="s">
        <v>34</v>
      </c>
      <c r="FQ24" s="122" t="s">
        <v>26</v>
      </c>
      <c r="FR24" s="122" t="s">
        <v>42</v>
      </c>
      <c r="FS24" s="122" t="s">
        <v>34</v>
      </c>
      <c r="FT24" s="122" t="s">
        <v>26</v>
      </c>
      <c r="FU24" s="122" t="s">
        <v>34</v>
      </c>
      <c r="FV24" s="122" t="s">
        <v>26</v>
      </c>
      <c r="FW24" s="122" t="s">
        <v>76</v>
      </c>
      <c r="FX24" s="122" t="s">
        <v>76</v>
      </c>
      <c r="FY24" s="122" t="s">
        <v>76</v>
      </c>
      <c r="FZ24" s="122" t="s">
        <v>135</v>
      </c>
      <c r="GA24" s="122" t="s">
        <v>26</v>
      </c>
      <c r="GB24" s="122" t="s">
        <v>92</v>
      </c>
      <c r="GC24" s="122" t="s">
        <v>34</v>
      </c>
      <c r="GD24" s="122" t="s">
        <v>136</v>
      </c>
      <c r="GE24" s="122"/>
      <c r="GF24" s="122" t="s">
        <v>138</v>
      </c>
      <c r="GG24" s="122"/>
      <c r="GH24" s="122"/>
      <c r="GI24" s="122"/>
      <c r="GJ24" s="122"/>
      <c r="GK24" s="122"/>
      <c r="GL24" s="122"/>
      <c r="GM24" s="121" t="s">
        <v>34</v>
      </c>
      <c r="GN24" s="121" t="s">
        <v>42</v>
      </c>
      <c r="GO24" s="121" t="s">
        <v>42</v>
      </c>
      <c r="GP24" s="121" t="s">
        <v>134</v>
      </c>
      <c r="GQ24" s="121" t="s">
        <v>26</v>
      </c>
      <c r="GR24" s="121" t="s">
        <v>26</v>
      </c>
      <c r="GS24" s="121" t="s">
        <v>34</v>
      </c>
      <c r="GT24" s="121" t="s">
        <v>58</v>
      </c>
      <c r="GU24" s="121" t="s">
        <v>34</v>
      </c>
      <c r="GV24" s="121" t="s">
        <v>62</v>
      </c>
      <c r="GW24" s="121" t="s">
        <v>71</v>
      </c>
      <c r="GX24" s="121" t="s">
        <v>135</v>
      </c>
      <c r="GY24" s="121" t="s">
        <v>92</v>
      </c>
      <c r="GZ24" s="121" t="s">
        <v>34</v>
      </c>
      <c r="HA24" s="121" t="s">
        <v>71</v>
      </c>
      <c r="HB24" s="121"/>
      <c r="HC24" s="121" t="s">
        <v>136</v>
      </c>
      <c r="HD24" s="121"/>
      <c r="HE24" s="121" t="s">
        <v>138</v>
      </c>
      <c r="HF24" s="121"/>
      <c r="HG24" s="121"/>
      <c r="HH24" s="121"/>
      <c r="HI24" s="121"/>
      <c r="HJ24" s="121"/>
      <c r="HK24" s="122" t="s">
        <v>26</v>
      </c>
      <c r="HL24" s="122" t="s">
        <v>42</v>
      </c>
      <c r="HM24" s="122" t="s">
        <v>42</v>
      </c>
      <c r="HN24" s="122" t="s">
        <v>81</v>
      </c>
      <c r="HO24" s="122" t="s">
        <v>54</v>
      </c>
      <c r="HP24" s="122" t="s">
        <v>34</v>
      </c>
      <c r="HQ24" s="122" t="s">
        <v>76</v>
      </c>
      <c r="HR24" s="122" t="s">
        <v>42</v>
      </c>
      <c r="HS24" s="122" t="s">
        <v>26</v>
      </c>
      <c r="HT24" s="122" t="s">
        <v>34</v>
      </c>
      <c r="HU24" s="122" t="s">
        <v>89</v>
      </c>
      <c r="HV24" s="122" t="s">
        <v>135</v>
      </c>
      <c r="HW24" s="122" t="s">
        <v>66</v>
      </c>
      <c r="HX24" s="122" t="s">
        <v>71</v>
      </c>
      <c r="HY24" s="122" t="s">
        <v>34</v>
      </c>
      <c r="HZ24" s="122"/>
      <c r="IA24" s="122" t="s">
        <v>136</v>
      </c>
      <c r="IB24" s="122"/>
      <c r="IC24" s="122" t="s">
        <v>138</v>
      </c>
      <c r="ID24" s="122"/>
      <c r="IE24" s="122"/>
      <c r="IF24" s="122"/>
      <c r="IG24" s="122"/>
      <c r="IH24" s="122"/>
      <c r="II24" s="121" t="s">
        <v>58</v>
      </c>
      <c r="IJ24" s="121" t="s">
        <v>71</v>
      </c>
      <c r="IK24" s="121" t="s">
        <v>62</v>
      </c>
      <c r="IL24" s="121" t="s">
        <v>134</v>
      </c>
      <c r="IM24" s="121" t="s">
        <v>92</v>
      </c>
      <c r="IN24" s="121" t="s">
        <v>42</v>
      </c>
      <c r="IO24" s="121" t="s">
        <v>42</v>
      </c>
      <c r="IP24" s="121" t="s">
        <v>42</v>
      </c>
      <c r="IQ24" s="121" t="s">
        <v>62</v>
      </c>
      <c r="IR24" s="121" t="s">
        <v>34</v>
      </c>
      <c r="IS24" s="121" t="s">
        <v>76</v>
      </c>
      <c r="IT24" s="121" t="s">
        <v>135</v>
      </c>
      <c r="IU24" s="121" t="s">
        <v>66</v>
      </c>
      <c r="IV24" s="121" t="s">
        <v>71</v>
      </c>
      <c r="IW24" s="121" t="s">
        <v>34</v>
      </c>
      <c r="IX24" s="121"/>
      <c r="IY24" s="121"/>
      <c r="IZ24" s="121"/>
      <c r="JA24" s="121"/>
      <c r="JB24" s="121"/>
      <c r="JC24" s="121"/>
      <c r="JD24" s="121"/>
      <c r="JE24" s="121"/>
      <c r="JF24" s="121"/>
      <c r="JG24" s="122" t="s">
        <v>87</v>
      </c>
      <c r="JH24" s="122" t="s">
        <v>58</v>
      </c>
      <c r="JI24" s="122" t="s">
        <v>66</v>
      </c>
      <c r="JJ24" s="122" t="s">
        <v>62</v>
      </c>
      <c r="JK24" s="122" t="s">
        <v>62</v>
      </c>
      <c r="JL24" s="122" t="s">
        <v>54</v>
      </c>
      <c r="JM24" s="122" t="s">
        <v>89</v>
      </c>
      <c r="JN24" s="122" t="s">
        <v>54</v>
      </c>
      <c r="JO24" s="122" t="s">
        <v>34</v>
      </c>
      <c r="JP24" s="122" t="s">
        <v>66</v>
      </c>
      <c r="JQ24" s="122" t="s">
        <v>34</v>
      </c>
      <c r="JR24" s="122" t="s">
        <v>135</v>
      </c>
      <c r="JS24" s="122" t="s">
        <v>66</v>
      </c>
      <c r="JT24" s="122" t="s">
        <v>71</v>
      </c>
      <c r="JU24" s="122" t="s">
        <v>76</v>
      </c>
      <c r="JV24" s="122"/>
      <c r="JW24" s="122"/>
      <c r="JX24" s="122"/>
      <c r="JY24" s="122"/>
      <c r="JZ24" s="122"/>
      <c r="KA24" s="122"/>
      <c r="KB24" s="122"/>
      <c r="KC24" s="122"/>
      <c r="KD24" s="122"/>
    </row>
    <row r="25" spans="1:290" s="117" customFormat="1" ht="18" customHeight="1" x14ac:dyDescent="0.4">
      <c r="A25" s="145"/>
      <c r="B25" s="143"/>
      <c r="C25" s="125" t="str">
        <f>IFERROR(VLOOKUP(C24,教师安排!$A:$Y,C$2+1,FALSE),"")</f>
        <v>岳/厉</v>
      </c>
      <c r="D25" s="125" t="str">
        <f>IFERROR(VLOOKUP(D24,教师安排!$A:$Y,D$2+1,FALSE),"")</f>
        <v>姚来朋</v>
      </c>
      <c r="E25" s="125" t="str">
        <f>IFERROR(VLOOKUP(E24,教师安排!$A:$Y,E$2+1,FALSE),"")</f>
        <v>杨彬</v>
      </c>
      <c r="F25" s="125" t="str">
        <f>IFERROR(VLOOKUP(F24,教师安排!$A:$Y,F$2+1,FALSE),"")</f>
        <v>岳/厉</v>
      </c>
      <c r="G25" s="125" t="str">
        <f>IFERROR(VLOOKUP(G24,教师安排!$A:$Y,G$2+1,FALSE),"")</f>
        <v>赵雪敏</v>
      </c>
      <c r="H25" s="125" t="str">
        <f>IFERROR(VLOOKUP(H24,教师安排!$A:$Y,H$2+1,FALSE),"")</f>
        <v>姜媛媛</v>
      </c>
      <c r="I25" s="125" t="str">
        <f>IFERROR(VLOOKUP(I24,教师安排!$A:$Y,I$2+1,FALSE),"")</f>
        <v>范林林</v>
      </c>
      <c r="J25" s="125" t="str">
        <f>IFERROR(VLOOKUP(J24,教师安排!$A:$Y,J$2+1,FALSE),"")</f>
        <v>路睿</v>
      </c>
      <c r="K25" s="125" t="str">
        <f>IFERROR(VLOOKUP(K24,教师安排!$A:$Y,K$2+1,FALSE),"")</f>
        <v>王硕</v>
      </c>
      <c r="L25" s="125" t="str">
        <f>IFERROR(VLOOKUP(L24,教师安排!$A:$Y,L$2+1,FALSE),"")</f>
        <v>孙秋杰</v>
      </c>
      <c r="M25" s="125" t="str">
        <f>IFERROR(VLOOKUP(M24,教师安排!$A:$Y,M$2+1,FALSE),"")</f>
        <v>孙锦锦</v>
      </c>
      <c r="N25" s="125">
        <f>IFERROR(VLOOKUP(N24,教师安排!$A:$Y,N$2+1,FALSE),"")</f>
        <v>0</v>
      </c>
      <c r="O25" s="125" t="str">
        <f>IFERROR(VLOOKUP(O24,教师安排!$A:$Y,O$2+1,FALSE),"")</f>
        <v>王菲</v>
      </c>
      <c r="P25" s="125" t="str">
        <f>IFERROR(VLOOKUP(P24,教师安排!$A:$Y,P$2+1,FALSE),"")</f>
        <v>孙显阳</v>
      </c>
      <c r="Q25" s="125" t="str">
        <f>IFERROR(VLOOKUP(Q24,教师安排!$A:$Y,Q$2+1,FALSE),"")</f>
        <v>高文凤</v>
      </c>
      <c r="R25" s="125" t="str">
        <f>IFERROR(VLOOKUP(R24,教师安排!$A:$Y,R$2+1,FALSE),"")</f>
        <v>岳海霞</v>
      </c>
      <c r="S25" s="125" t="str">
        <f>IFERROR(VLOOKUP(S24,教师安排!$A:$Y,S$2+1,FALSE),"")</f>
        <v/>
      </c>
      <c r="T25" s="125" t="str">
        <f>IFERROR(VLOOKUP(T24,教师安排!$A:$Y,T$2+1,FALSE),"")</f>
        <v>厉彦龙</v>
      </c>
      <c r="U25" s="125" t="str">
        <f>IFERROR(VLOOKUP(U24,教师安排!$A:$Y,U$2+1,FALSE),"")</f>
        <v/>
      </c>
      <c r="V25" s="125"/>
      <c r="W25" s="125" t="str">
        <f>IFERROR(VLOOKUP(W24,教师安排!$A:$Y,W$2+1,FALSE),"")</f>
        <v/>
      </c>
      <c r="X25" s="125" t="str">
        <f>IFERROR(VLOOKUP(X24,教师安排!$A:$Y,X$2+1,FALSE),"")</f>
        <v/>
      </c>
      <c r="Y25" s="125" t="str">
        <f>IFERROR(VLOOKUP(Y24,教师安排!$A:$Y,Y$2+1,FALSE),"")</f>
        <v/>
      </c>
      <c r="Z25" s="125" t="str">
        <f>IFERROR(VLOOKUP(Z24,教师安排!$A:$Y,Z$2+1,FALSE),"")</f>
        <v/>
      </c>
      <c r="AA25" s="126" t="str">
        <f>IFERROR(VLOOKUP(AA24,教师安排!$A:$Y,AA$2+1,FALSE),"")</f>
        <v>侯淑贤</v>
      </c>
      <c r="AB25" s="126" t="str">
        <f>IFERROR(VLOOKUP(AB24,教师安排!$A:$Y,AB$2+1,FALSE),"")</f>
        <v>岳/厉</v>
      </c>
      <c r="AC25" s="126" t="str">
        <f>IFERROR(VLOOKUP(AC24,教师安排!$A:$Y,AC$2+1,FALSE),"")</f>
        <v>岳/厉</v>
      </c>
      <c r="AD25" s="126">
        <f>IFERROR(VLOOKUP(AD24,教师安排!$A:$Y,AD$2+1,FALSE),"")</f>
        <v>0</v>
      </c>
      <c r="AE25" s="126" t="str">
        <f>IFERROR(VLOOKUP(AE24,教师安排!$A:$Y,AE$2+1,FALSE),"")</f>
        <v>张冰雪</v>
      </c>
      <c r="AF25" s="126" t="str">
        <f>IFERROR(VLOOKUP(AF24,教师安排!$A:$Y,AF$2+1,FALSE),"")</f>
        <v>姜媛媛</v>
      </c>
      <c r="AG25" s="126" t="str">
        <f>IFERROR(VLOOKUP(AG24,教师安排!$A:$Y,AG$2+1,FALSE),"")</f>
        <v>范林林</v>
      </c>
      <c r="AH25" s="126" t="str">
        <f>IFERROR(VLOOKUP(AH24,教师安排!$A:$Y,AH$2+1,FALSE),"")</f>
        <v>高文凤</v>
      </c>
      <c r="AI25" s="126" t="str">
        <f>IFERROR(VLOOKUP(AI24,教师安排!$A:$Y,AI$2+1,FALSE),"")</f>
        <v>赵雪敏</v>
      </c>
      <c r="AJ25" s="126" t="str">
        <f>IFERROR(VLOOKUP(AJ24,教师安排!$A:$Y,AJ$2+1,FALSE),"")</f>
        <v>蒋心言</v>
      </c>
      <c r="AK25" s="126" t="str">
        <f>IFERROR(VLOOKUP(AK24,教师安排!$A:$Y,AK$2+1,FALSE),"")</f>
        <v>张雯皓</v>
      </c>
      <c r="AL25" s="126">
        <f>IFERROR(VLOOKUP(AL24,教师安排!$A:$Y,AL$2+1,FALSE),"")</f>
        <v>0</v>
      </c>
      <c r="AM25" s="126" t="str">
        <f>IFERROR(VLOOKUP(AM24,教师安排!$A:$Y,AM$2+1,FALSE),"")</f>
        <v>孙显阳</v>
      </c>
      <c r="AN25" s="126" t="str">
        <f>IFERROR(VLOOKUP(AN24,教师安排!$A:$Y,AN$2+1,FALSE),"")</f>
        <v>王露</v>
      </c>
      <c r="AO25" s="126" t="str">
        <f>IFERROR(VLOOKUP(AO24,教师安排!$A:$Y,AO$2+1,FALSE),"")</f>
        <v>张鑫</v>
      </c>
      <c r="AP25" s="126" t="str">
        <f>IFERROR(VLOOKUP(AP24,教师安排!$A:$Y,AP$2+1,FALSE),"")</f>
        <v/>
      </c>
      <c r="AQ25" s="126" t="str">
        <f>IFERROR(VLOOKUP(AQ24,教师安排!$A:$Y,AQ$2+1,FALSE),"")</f>
        <v>岳海霞</v>
      </c>
      <c r="AR25" s="126" t="str">
        <f>IFERROR(VLOOKUP(AR24,教师安排!$A:$Y,AR$2+1,FALSE),"")</f>
        <v/>
      </c>
      <c r="AS25" s="126" t="str">
        <f>IFERROR(VLOOKUP(AS24,教师安排!$A:$Y,AS$2+1,FALSE),"")</f>
        <v>厉彦龙</v>
      </c>
      <c r="AT25" s="126"/>
      <c r="AU25" s="126" t="str">
        <f>IFERROR(VLOOKUP(AU24,教师安排!$A:$Y,AU$2+1,FALSE),"")</f>
        <v/>
      </c>
      <c r="AV25" s="126" t="str">
        <f>IFERROR(VLOOKUP(AV24,教师安排!$A:$Y,AV$2+1,FALSE),"")</f>
        <v/>
      </c>
      <c r="AW25" s="126" t="str">
        <f>IFERROR(VLOOKUP(AW24,教师安排!$A:$Y,AW$2+1,FALSE),"")</f>
        <v/>
      </c>
      <c r="AX25" s="126" t="str">
        <f>IFERROR(VLOOKUP(AX24,教师安排!$A:$Y,AX$2+1,FALSE),"")</f>
        <v/>
      </c>
      <c r="AY25" s="125" t="str">
        <f>IFERROR(VLOOKUP(AY24,教师安排!$A:$Y,AY$2+1,FALSE),"")</f>
        <v>杨彬</v>
      </c>
      <c r="AZ25" s="125" t="str">
        <f>IFERROR(VLOOKUP(AZ24,教师安排!$A:$Y,AZ$2+1,FALSE),"")</f>
        <v>岳/厉</v>
      </c>
      <c r="BA25" s="125" t="str">
        <f>IFERROR(VLOOKUP(BA24,教师安排!$A:$Y,BA$2+1,FALSE),"")</f>
        <v>岳/厉</v>
      </c>
      <c r="BB25" s="125" t="str">
        <f>IFERROR(VLOOKUP(BB24,教师安排!$A:$Y,BB$2+1,FALSE),"")</f>
        <v>王庆超</v>
      </c>
      <c r="BC25" s="125" t="str">
        <f>IFERROR(VLOOKUP(BC24,教师安排!$A:$Y,BC$2+1,FALSE),"")</f>
        <v>孙存义</v>
      </c>
      <c r="BD25" s="125" t="str">
        <f>IFERROR(VLOOKUP(BD24,教师安排!$A:$Y,BD$2+1,FALSE),"")</f>
        <v>王露</v>
      </c>
      <c r="BE25" s="125" t="str">
        <f>IFERROR(VLOOKUP(BE24,教师安排!$A:$Y,BE$2+1,FALSE),"")</f>
        <v>孙锦锦</v>
      </c>
      <c r="BF25" s="125" t="str">
        <f>IFERROR(VLOOKUP(BF24,教师安排!$A:$Y,BF$2+1,FALSE),"")</f>
        <v>宋平</v>
      </c>
      <c r="BG25" s="125" t="str">
        <f>IFERROR(VLOOKUP(BG24,教师安排!$A:$Y,BG$2+1,FALSE),"")</f>
        <v>张冰雪</v>
      </c>
      <c r="BH25" s="125" t="str">
        <f>IFERROR(VLOOKUP(BH24,教师安排!$A:$Y,BH$2+1,FALSE),"")</f>
        <v>孙娜</v>
      </c>
      <c r="BI25" s="125" t="str">
        <f>IFERROR(VLOOKUP(BI24,教师安排!$A:$Y,BI$2+1,FALSE),"")</f>
        <v>孙显阳</v>
      </c>
      <c r="BJ25" s="125">
        <f>IFERROR(VLOOKUP(BJ24,教师安排!$A:$Y,BJ$2+1,FALSE),"")</f>
        <v>0</v>
      </c>
      <c r="BK25" s="125" t="str">
        <f>IFERROR(VLOOKUP(BK24,教师安排!$A:$Y,BK$2+1,FALSE),"")</f>
        <v>夏文杰</v>
      </c>
      <c r="BL25" s="125" t="str">
        <f>IFERROR(VLOOKUP(BL24,教师安排!$A:$Y,BL$2+1,FALSE),"")</f>
        <v>李浩然</v>
      </c>
      <c r="BM25" s="125" t="str">
        <f>IFERROR(VLOOKUP(BM24,教师安排!$A:$Y,BM$2+1,FALSE),"")</f>
        <v>高文凤</v>
      </c>
      <c r="BN25" s="125" t="str">
        <f>IFERROR(VLOOKUP(BN24,教师安排!$A:$Y,BN$2+1,FALSE),"")</f>
        <v/>
      </c>
      <c r="BO25" s="125" t="str">
        <f>IFERROR(VLOOKUP(BO24,教师安排!$A:$Y,BO$2+1,FALSE),"")</f>
        <v>岳海霞</v>
      </c>
      <c r="BP25" s="125" t="str">
        <f>IFERROR(VLOOKUP(BP24,教师安排!$A:$Y,BP$2+1,FALSE),"")</f>
        <v>厉彦龙</v>
      </c>
      <c r="BQ25" s="125" t="str">
        <f>IFERROR(VLOOKUP(BQ24,教师安排!$A:$Y,BQ$2+1,FALSE),"")</f>
        <v/>
      </c>
      <c r="BR25" s="125"/>
      <c r="BS25" s="125" t="str">
        <f>IFERROR(VLOOKUP(BS24,教师安排!$A:$Y,BS$2+1,FALSE),"")</f>
        <v/>
      </c>
      <c r="BT25" s="125" t="str">
        <f>IFERROR(VLOOKUP(BT24,教师安排!$A:$Y,BT$2+1,FALSE),"")</f>
        <v/>
      </c>
      <c r="BU25" s="125" t="str">
        <f>IFERROR(VLOOKUP(BU24,教师安排!$A:$Y,BU$2+1,FALSE),"")</f>
        <v/>
      </c>
      <c r="BV25" s="125" t="str">
        <f>IFERROR(VLOOKUP(BV24,教师安排!$A:$Y,BV$2+1,FALSE),"")</f>
        <v/>
      </c>
      <c r="BW25" s="126" t="str">
        <f>IFERROR(VLOOKUP(BW24,教师安排!$A:$Y,BW$2+1,FALSE),"")</f>
        <v>马崇庆</v>
      </c>
      <c r="BX25" s="126" t="str">
        <f>IFERROR(VLOOKUP(BX24,教师安排!$A:$Y,BX$2+1,FALSE),"")</f>
        <v>刘珊珊</v>
      </c>
      <c r="BY25" s="126" t="str">
        <f>IFERROR(VLOOKUP(BY24,教师安排!$A:$Y,BY$2+1,FALSE),"")</f>
        <v>周兴玲</v>
      </c>
      <c r="BZ25" s="126">
        <f>IFERROR(VLOOKUP(BZ24,教师安排!$A:$Y,BZ$2+1,FALSE),"")</f>
        <v>0</v>
      </c>
      <c r="CA25" s="126" t="str">
        <f>IFERROR(VLOOKUP(CA24,教师安排!$A:$Y,CA$2+1,FALSE),"")</f>
        <v>孙显阳</v>
      </c>
      <c r="CB25" s="126" t="str">
        <f>IFERROR(VLOOKUP(CB24,教师安排!$A:$Y,CB$2+1,FALSE),"")</f>
        <v>翟淑玮</v>
      </c>
      <c r="CC25" s="126" t="str">
        <f>IFERROR(VLOOKUP(CC24,教师安排!$A:$Y,CC$2+1,FALSE),"")</f>
        <v>韩丽梅</v>
      </c>
      <c r="CD25" s="126" t="str">
        <f>IFERROR(VLOOKUP(CD24,教师安排!$A:$Y,CD$2+1,FALSE),"")</f>
        <v>宋平</v>
      </c>
      <c r="CE25" s="126" t="str">
        <f>IFERROR(VLOOKUP(CE24,教师安排!$A:$Y,CE$2+1,FALSE),"")</f>
        <v>刘腾</v>
      </c>
      <c r="CF25" s="126" t="str">
        <f>IFERROR(VLOOKUP(CF24,教师安排!$A:$Y,CF$2+1,FALSE),"")</f>
        <v>孙娜</v>
      </c>
      <c r="CG25" s="126" t="str">
        <f>IFERROR(VLOOKUP(CG24,教师安排!$A:$Y,CG$2+1,FALSE),"")</f>
        <v>张雯皓</v>
      </c>
      <c r="CH25" s="126">
        <f>IFERROR(VLOOKUP(CH24,教师安排!$A:$Y,CH$2+1,FALSE),"")</f>
        <v>0</v>
      </c>
      <c r="CI25" s="126" t="str">
        <f>IFERROR(VLOOKUP(CI24,教师安排!$A:$Y,CI$2+1,FALSE),"")</f>
        <v>夏文杰</v>
      </c>
      <c r="CJ25" s="126" t="str">
        <f>IFERROR(VLOOKUP(CJ24,教师安排!$A:$Y,CJ$2+1,FALSE),"")</f>
        <v>李浩然</v>
      </c>
      <c r="CK25" s="126" t="str">
        <f>IFERROR(VLOOKUP(CK24,教师安排!$A:$Y,CK$2+1,FALSE),"")</f>
        <v>高文凤</v>
      </c>
      <c r="CL25" s="126" t="str">
        <f>IFERROR(VLOOKUP(CL24,教师安排!$A:$Y,CL$2+1,FALSE),"")</f>
        <v/>
      </c>
      <c r="CM25" s="126" t="str">
        <f>IFERROR(VLOOKUP(CM24,教师安排!$A:$Y,CM$2+1,FALSE),"")</f>
        <v/>
      </c>
      <c r="CN25" s="126" t="str">
        <f>IFERROR(VLOOKUP(CN24,教师安排!$A:$Y,CN$2+1,FALSE),"")</f>
        <v/>
      </c>
      <c r="CO25" s="126" t="str">
        <f>IFERROR(VLOOKUP(CO24,教师安排!$A:$Y,CO$2+1,FALSE),"")</f>
        <v/>
      </c>
      <c r="CP25" s="126" t="str">
        <f>IFERROR(VLOOKUP(CP24,教师安排!$A:$Y,CP$2+1,FALSE),"")</f>
        <v/>
      </c>
      <c r="CQ25" s="126"/>
      <c r="CR25" s="126" t="str">
        <f>IFERROR(VLOOKUP(CR24,教师安排!$A:$Y,CR$2+1,FALSE),"")</f>
        <v/>
      </c>
      <c r="CS25" s="126" t="str">
        <f>IFERROR(VLOOKUP(CS24,教师安排!$A:$Y,CS$2+1,FALSE),"")</f>
        <v/>
      </c>
      <c r="CT25" s="126" t="str">
        <f>IFERROR(VLOOKUP(CT24,教师安排!$A:$Y,CT$2+1,FALSE),"")</f>
        <v/>
      </c>
      <c r="CU25" s="125" t="str">
        <f>IFERROR(VLOOKUP(CU24,教师安排!$A:$Y,CU$2+1,FALSE),"")</f>
        <v>刘珊珊</v>
      </c>
      <c r="CV25" s="125" t="str">
        <f>IFERROR(VLOOKUP(CV24,教师安排!$A:$Y,CV$2+1,FALSE),"")</f>
        <v>宋开元</v>
      </c>
      <c r="CW25" s="125" t="str">
        <f>IFERROR(VLOOKUP(CW24,教师安排!$A:$Y,CW$2+1,FALSE),"")</f>
        <v>李雯</v>
      </c>
      <c r="CX25" s="125" t="str">
        <f>IFERROR(VLOOKUP(CX24,教师安排!$A:$Y,CX$2+1,FALSE),"")</f>
        <v>周兴玲</v>
      </c>
      <c r="CY25" s="125" t="str">
        <f>IFERROR(VLOOKUP(CY24,教师安排!$A:$Y,CY$2+1,FALSE),"")</f>
        <v>刘腾</v>
      </c>
      <c r="CZ25" s="125" t="str">
        <f>IFERROR(VLOOKUP(CZ24,教师安排!$A:$Y,CZ$2+1,FALSE),"")</f>
        <v>孙存义</v>
      </c>
      <c r="DA25" s="125" t="str">
        <f>IFERROR(VLOOKUP(DA24,教师安排!$A:$Y,DA$2+1,FALSE),"")</f>
        <v>孙显阳</v>
      </c>
      <c r="DB25" s="125" t="str">
        <f>IFERROR(VLOOKUP(DB24,教师安排!$A:$Y,DB$2+1,FALSE),"")</f>
        <v>康波</v>
      </c>
      <c r="DC25" s="125" t="str">
        <f>IFERROR(VLOOKUP(DC24,教师安排!$A:$Y,DC$2+1,FALSE),"")</f>
        <v>赵雪敏</v>
      </c>
      <c r="DD25" s="125" t="str">
        <f>IFERROR(VLOOKUP(DD24,教师安排!$A:$Y,DD$2+1,FALSE),"")</f>
        <v>董艳华</v>
      </c>
      <c r="DE25" s="125" t="str">
        <f>IFERROR(VLOOKUP(DE24,教师安排!$A:$Y,DE$2+1,FALSE),"")</f>
        <v>范林林</v>
      </c>
      <c r="DF25" s="125">
        <f>IFERROR(VLOOKUP(DF24,教师安排!$A:$Y,DF$2+1,FALSE),"")</f>
        <v>0</v>
      </c>
      <c r="DG25" s="125" t="str">
        <f>IFERROR(VLOOKUP(DG24,教师安排!$A:$Y,DG$2+1,FALSE),"")</f>
        <v>夏文杰</v>
      </c>
      <c r="DH25" s="125" t="str">
        <f>IFERROR(VLOOKUP(DH24,教师安排!$A:$Y,DH$2+1,FALSE),"")</f>
        <v>李浩然</v>
      </c>
      <c r="DI25" s="125" t="str">
        <f>IFERROR(VLOOKUP(DI24,教师安排!$A:$Y,DI$2+1,FALSE),"")</f>
        <v>孙秋杰</v>
      </c>
      <c r="DJ25" s="125" t="str">
        <f>IFERROR(VLOOKUP(DJ24,教师安排!$A:$Y,DJ$2+1,FALSE),"")</f>
        <v/>
      </c>
      <c r="DK25" s="125" t="str">
        <f>IFERROR(VLOOKUP(DK24,教师安排!$A:$Y,DK$2+1,FALSE),"")</f>
        <v/>
      </c>
      <c r="DL25" s="125" t="str">
        <f>IFERROR(VLOOKUP(DL24,教师安排!$A:$Y,DL$2+1,FALSE),"")</f>
        <v/>
      </c>
      <c r="DM25" s="125" t="str">
        <f>IFERROR(VLOOKUP(DM24,教师安排!$A:$Y,DM$2+1,FALSE),"")</f>
        <v/>
      </c>
      <c r="DN25" s="125"/>
      <c r="DO25" s="125" t="str">
        <f>IFERROR(VLOOKUP(DO24,教师安排!$A:$Y,DO$2+1,FALSE),"")</f>
        <v/>
      </c>
      <c r="DP25" s="125" t="str">
        <f>IFERROR(VLOOKUP(DP24,教师安排!$A:$Y,DP$2+1,FALSE),"")</f>
        <v/>
      </c>
      <c r="DQ25" s="125" t="str">
        <f>IFERROR(VLOOKUP(DQ24,教师安排!$A:$Y,DQ$2+1,FALSE),"")</f>
        <v/>
      </c>
      <c r="DR25" s="125" t="str">
        <f>IFERROR(VLOOKUP(DR24,教师安排!$A:$Y,DR$2+1,FALSE),"")</f>
        <v/>
      </c>
      <c r="DS25" s="124" t="str">
        <f>IFERROR(VLOOKUP(DS24,教师安排!$A:$Y,DS$2+1,FALSE),"")</f>
        <v>李会玲</v>
      </c>
      <c r="DT25" s="124" t="str">
        <f>IFERROR(VLOOKUP(DT24,教师安排!$A:$Y,DT$2+1,FALSE),"")</f>
        <v>刘珊珊</v>
      </c>
      <c r="DU25" s="124" t="str">
        <f>IFERROR(VLOOKUP(DU24,教师安排!$A:$Y,DU$2+1,FALSE),"")</f>
        <v>李雯</v>
      </c>
      <c r="DV25" s="124" t="str">
        <f>IFERROR(VLOOKUP(DV24,教师安排!$A:$Y,DV$2+1,FALSE),"")</f>
        <v>周兴玲</v>
      </c>
      <c r="DW25" s="124" t="str">
        <f>IFERROR(VLOOKUP(DW24,教师安排!$A:$Y,DW$2+1,FALSE),"")</f>
        <v>赵雪敏</v>
      </c>
      <c r="DX25" s="124" t="str">
        <f>IFERROR(VLOOKUP(DX24,教师安排!$A:$Y,DX$2+1,FALSE),"")</f>
        <v>王露</v>
      </c>
      <c r="DY25" s="124" t="str">
        <f>IFERROR(VLOOKUP(DY24,教师安排!$A:$Y,DY$2+1,FALSE),"")</f>
        <v>孙存义</v>
      </c>
      <c r="DZ25" s="124" t="str">
        <f>IFERROR(VLOOKUP(DZ24,教师安排!$A:$Y,DZ$2+1,FALSE),"")</f>
        <v>高文凤</v>
      </c>
      <c r="EA25" s="124" t="str">
        <f>IFERROR(VLOOKUP(EA24,教师安排!$A:$Y,EA$2+1,FALSE),"")</f>
        <v>王硕</v>
      </c>
      <c r="EB25" s="124" t="str">
        <f>IFERROR(VLOOKUP(EB24,教师安排!$A:$Y,EB$2+1,FALSE),"")</f>
        <v>董艳华</v>
      </c>
      <c r="EC25" s="124" t="str">
        <f>IFERROR(VLOOKUP(EC24,教师安排!$A:$Y,EC$2+1,FALSE),"")</f>
        <v>田凤美</v>
      </c>
      <c r="ED25" s="124">
        <f>IFERROR(VLOOKUP(ED24,教师安排!$A:$Y,ED$2+1,FALSE),"")</f>
        <v>0</v>
      </c>
      <c r="EE25" s="124" t="str">
        <f>IFERROR(VLOOKUP(EE24,教师安排!$A:$Y,EE$2+1,FALSE),"")</f>
        <v>李浩然</v>
      </c>
      <c r="EF25" s="124" t="str">
        <f>IFERROR(VLOOKUP(EF24,教师安排!$A:$Y,EF$2+1,FALSE),"")</f>
        <v>孙锦锦</v>
      </c>
      <c r="EG25" s="124" t="str">
        <f>IFERROR(VLOOKUP(EG24,教师安排!$A:$Y,EG$2+1,FALSE),"")</f>
        <v>路睿</v>
      </c>
      <c r="EH25" s="124" t="str">
        <f>IFERROR(VLOOKUP(EH24,教师安排!$A:$Y,EH$2+1,FALSE),"")</f>
        <v/>
      </c>
      <c r="EI25" s="124" t="str">
        <f>IFERROR(VLOOKUP(EI24,教师安排!$A:$Y,EI$2+1,FALSE),"")</f>
        <v/>
      </c>
      <c r="EJ25" s="124" t="str">
        <f>IFERROR(VLOOKUP(EJ24,教师安排!$A:$Y,EJ$2+1,FALSE),"")</f>
        <v/>
      </c>
      <c r="EK25" s="124" t="str">
        <f>IFERROR(VLOOKUP(EK24,教师安排!$A:$Y,EK$2+1,FALSE),"")</f>
        <v/>
      </c>
      <c r="EL25" s="124"/>
      <c r="EM25" s="124" t="str">
        <f>IFERROR(VLOOKUP(EM24,教师安排!$A:$Y,EM$2+1,FALSE),"")</f>
        <v/>
      </c>
      <c r="EN25" s="124" t="str">
        <f>IFERROR(VLOOKUP(EN24,教师安排!$A:$Y,EN$2+1,FALSE),"")</f>
        <v/>
      </c>
      <c r="EO25" s="124" t="str">
        <f>IFERROR(VLOOKUP(EO24,教师安排!$A:$Y,EO$2+1,FALSE),"")</f>
        <v/>
      </c>
      <c r="EP25" s="124" t="str">
        <f>IFERROR(VLOOKUP(EP24,教师安排!$A:$Y,EP$2+1,FALSE),"")</f>
        <v/>
      </c>
      <c r="EQ25" s="123" t="str">
        <f>IFERROR(VLOOKUP(EQ24,教师安排!$A:$Y,EQ$2+1,FALSE),"")</f>
        <v>岳/厉</v>
      </c>
      <c r="ER25" s="123" t="str">
        <f>IFERROR(VLOOKUP(ER24,教师安排!$A:$Y,ER$2+1,FALSE),"")</f>
        <v>刘珊珊</v>
      </c>
      <c r="ES25" s="123" t="str">
        <f>IFERROR(VLOOKUP(ES24,教师安排!$A:$Y,ES$2+1,FALSE),"")</f>
        <v>杨彬</v>
      </c>
      <c r="ET25" s="123" t="str">
        <f>IFERROR(VLOOKUP(ET24,教师安排!$A:$Y,ET$2+1,FALSE),"")</f>
        <v>岳/厉</v>
      </c>
      <c r="EU25" s="123" t="str">
        <f>IFERROR(VLOOKUP(EU24,教师安排!$A:$Y,EU$2+1,FALSE),"")</f>
        <v>刘腾</v>
      </c>
      <c r="EV25" s="123" t="str">
        <f>IFERROR(VLOOKUP(EV24,教师安排!$A:$Y,EV$2+1,FALSE),"")</f>
        <v>李振铎</v>
      </c>
      <c r="EW25" s="123" t="str">
        <f>IFERROR(VLOOKUP(EW24,教师安排!$A:$Y,EW$2+1,FALSE),"")</f>
        <v>孙锦锦</v>
      </c>
      <c r="EX25" s="123" t="str">
        <f>IFERROR(VLOOKUP(EX24,教师安排!$A:$Y,EX$2+1,FALSE),"")</f>
        <v>康波</v>
      </c>
      <c r="EY25" s="123" t="str">
        <f>IFERROR(VLOOKUP(EY24,教师安排!$A:$Y,EY$2+1,FALSE),"")</f>
        <v>王灼</v>
      </c>
      <c r="EZ25" s="123" t="str">
        <f>IFERROR(VLOOKUP(EZ24,教师安排!$A:$Y,EZ$2+1,FALSE),"")</f>
        <v>蒋心言</v>
      </c>
      <c r="FA25" s="123" t="str">
        <f>IFERROR(VLOOKUP(FA24,教师安排!$A:$Y,FA$2+1,FALSE),"")</f>
        <v>路睿</v>
      </c>
      <c r="FB25" s="123">
        <f>IFERROR(VLOOKUP(FB24,教师安排!$A:$Y,FB$2+1,FALSE),"")</f>
        <v>0</v>
      </c>
      <c r="FC25" s="123" t="str">
        <f>IFERROR(VLOOKUP(FC24,教师安排!$A:$Y,FC$2+1,FALSE),"")</f>
        <v>王硕</v>
      </c>
      <c r="FD25" s="123" t="str">
        <f>IFERROR(VLOOKUP(FD24,教师安排!$A:$Y,FD$2+1,FALSE),"")</f>
        <v>李浩然</v>
      </c>
      <c r="FE25" s="123" t="str">
        <f>IFERROR(VLOOKUP(FE24,教师安排!$A:$Y,FE$2+1,FALSE),"")</f>
        <v>张鑫</v>
      </c>
      <c r="FF25" s="123" t="str">
        <f>IFERROR(VLOOKUP(FF24,教师安排!$A:$Y,FF$2+1,FALSE),"")</f>
        <v>岳海霞</v>
      </c>
      <c r="FG25" s="123" t="str">
        <f>IFERROR(VLOOKUP(FG24,教师安排!$A:$Y,FG$2+1,FALSE),"")</f>
        <v/>
      </c>
      <c r="FH25" s="123" t="str">
        <f>IFERROR(VLOOKUP(FH24,教师安排!$A:$Y,FH$2+1,FALSE),"")</f>
        <v>厉彦龙</v>
      </c>
      <c r="FI25" s="123" t="str">
        <f>IFERROR(VLOOKUP(FI24,教师安排!$A:$Y,FI$2+1,FALSE),"")</f>
        <v/>
      </c>
      <c r="FJ25" s="123"/>
      <c r="FK25" s="123" t="str">
        <f>IFERROR(VLOOKUP(FK24,教师安排!$A:$Y,FK$2+1,FALSE),"")</f>
        <v/>
      </c>
      <c r="FL25" s="123" t="str">
        <f>IFERROR(VLOOKUP(FL24,教师安排!$A:$Y,FL$2+1,FALSE),"")</f>
        <v/>
      </c>
      <c r="FM25" s="123" t="str">
        <f>IFERROR(VLOOKUP(FM24,教师安排!$A:$Y,FM$2+1,FALSE),"")</f>
        <v/>
      </c>
      <c r="FN25" s="123" t="str">
        <f>IFERROR(VLOOKUP(FN24,教师安排!$A:$Y,FN$2+1,FALSE),"")</f>
        <v/>
      </c>
      <c r="FO25" s="126" t="str">
        <f>IFERROR(VLOOKUP(FO24,教师安排!$A:$Y,FO$2+1,FALSE),"")</f>
        <v>岳/厉</v>
      </c>
      <c r="FP25" s="126" t="str">
        <f>IFERROR(VLOOKUP(FP24,教师安排!$A:$Y,FP$2+1,FALSE),"")</f>
        <v>姚来朋</v>
      </c>
      <c r="FQ25" s="126" t="str">
        <f>IFERROR(VLOOKUP(FQ24,教师安排!$A:$Y,FQ$2+1,FALSE),"")</f>
        <v>杨彬</v>
      </c>
      <c r="FR25" s="126" t="str">
        <f>IFERROR(VLOOKUP(FR24,教师安排!$A:$Y,FR$2+1,FALSE),"")</f>
        <v>岳/厉</v>
      </c>
      <c r="FS25" s="126" t="str">
        <f>IFERROR(VLOOKUP(FS24,教师安排!$A:$Y,FS$2+1,FALSE),"")</f>
        <v>赵雪敏</v>
      </c>
      <c r="FT25" s="126" t="str">
        <f>IFERROR(VLOOKUP(FT24,教师安排!$A:$Y,FT$2+1,FALSE),"")</f>
        <v>姜媛媛</v>
      </c>
      <c r="FU25" s="126" t="str">
        <f>IFERROR(VLOOKUP(FU24,教师安排!$A:$Y,FU$2+1,FALSE),"")</f>
        <v>范林林</v>
      </c>
      <c r="FV25" s="126" t="str">
        <f>IFERROR(VLOOKUP(FV24,教师安排!$A:$Y,FV$2+1,FALSE),"")</f>
        <v>路睿</v>
      </c>
      <c r="FW25" s="126" t="str">
        <f>IFERROR(VLOOKUP(FW24,教师安排!$A:$Y,FW$2+1,FALSE),"")</f>
        <v>王硕</v>
      </c>
      <c r="FX25" s="126" t="str">
        <f>IFERROR(VLOOKUP(FX24,教师安排!$A:$Y,FX$2+1,FALSE),"")</f>
        <v>孙秋杰</v>
      </c>
      <c r="FY25" s="126" t="str">
        <f>IFERROR(VLOOKUP(FY24,教师安排!$A:$Y,FY$2+1,FALSE),"")</f>
        <v>孙锦锦</v>
      </c>
      <c r="FZ25" s="126">
        <f>IFERROR(VLOOKUP(FZ24,教师安排!$A:$Y,FZ$2+1,FALSE),"")</f>
        <v>0</v>
      </c>
      <c r="GA25" s="126" t="str">
        <f>IFERROR(VLOOKUP(GA24,教师安排!$A:$Y,GA$2+1,FALSE),"")</f>
        <v>王菲</v>
      </c>
      <c r="GB25" s="126" t="str">
        <f>IFERROR(VLOOKUP(GB24,教师安排!$A:$Y,GB$2+1,FALSE),"")</f>
        <v>孙显阳</v>
      </c>
      <c r="GC25" s="126" t="str">
        <f>IFERROR(VLOOKUP(GC24,教师安排!$A:$Y,GC$2+1,FALSE),"")</f>
        <v>高文凤</v>
      </c>
      <c r="GD25" s="126" t="str">
        <f>IFERROR(VLOOKUP(GD24,教师安排!$A:$Y,GD$2+1,FALSE),"")</f>
        <v>岳海霞</v>
      </c>
      <c r="GE25" s="126" t="str">
        <f>IFERROR(VLOOKUP(GE24,教师安排!$A:$Y,GE$2+1,FALSE),"")</f>
        <v/>
      </c>
      <c r="GF25" s="126" t="str">
        <f>IFERROR(VLOOKUP(GF24,教师安排!$A:$Y,GF$2+1,FALSE),"")</f>
        <v>厉彦龙</v>
      </c>
      <c r="GG25" s="126" t="str">
        <f>IFERROR(VLOOKUP(GG24,教师安排!$A:$Y,GG$2+1,FALSE),"")</f>
        <v/>
      </c>
      <c r="GH25" s="126"/>
      <c r="GI25" s="126" t="str">
        <f>IFERROR(VLOOKUP(GI24,教师安排!$A:$Y,GI$2+1,FALSE),"")</f>
        <v/>
      </c>
      <c r="GJ25" s="126" t="str">
        <f>IFERROR(VLOOKUP(GJ24,教师安排!$A:$Y,GJ$2+1,FALSE),"")</f>
        <v/>
      </c>
      <c r="GK25" s="126" t="str">
        <f>IFERROR(VLOOKUP(GK24,教师安排!$A:$Y,GK$2+1,FALSE),"")</f>
        <v/>
      </c>
      <c r="GL25" s="126" t="str">
        <f>IFERROR(VLOOKUP(GL24,教师安排!$A:$Y,GL$2+1,FALSE),"")</f>
        <v/>
      </c>
      <c r="GM25" s="125" t="str">
        <f>IFERROR(VLOOKUP(GM24,教师安排!$A:$Y,GM$2+1,FALSE),"")</f>
        <v>侯淑贤</v>
      </c>
      <c r="GN25" s="125" t="str">
        <f>IFERROR(VLOOKUP(GN24,教师安排!$A:$Y,GN$2+1,FALSE),"")</f>
        <v>岳/厉</v>
      </c>
      <c r="GO25" s="125" t="str">
        <f>IFERROR(VLOOKUP(GO24,教师安排!$A:$Y,GO$2+1,FALSE),"")</f>
        <v>岳/厉</v>
      </c>
      <c r="GP25" s="125">
        <f>IFERROR(VLOOKUP(GP24,教师安排!$A:$Y,GP$2+1,FALSE),"")</f>
        <v>0</v>
      </c>
      <c r="GQ25" s="125" t="str">
        <f>IFERROR(VLOOKUP(GQ24,教师安排!$A:$Y,GQ$2+1,FALSE),"")</f>
        <v>张冰雪</v>
      </c>
      <c r="GR25" s="125" t="str">
        <f>IFERROR(VLOOKUP(GR24,教师安排!$A:$Y,GR$2+1,FALSE),"")</f>
        <v>姜媛媛</v>
      </c>
      <c r="GS25" s="125" t="str">
        <f>IFERROR(VLOOKUP(GS24,教师安排!$A:$Y,GS$2+1,FALSE),"")</f>
        <v>范林林</v>
      </c>
      <c r="GT25" s="125" t="str">
        <f>IFERROR(VLOOKUP(GT24,教师安排!$A:$Y,GT$2+1,FALSE),"")</f>
        <v>宋开元</v>
      </c>
      <c r="GU25" s="125" t="str">
        <f>IFERROR(VLOOKUP(GU24,教师安排!$A:$Y,GU$2+1,FALSE),"")</f>
        <v>赵雪敏</v>
      </c>
      <c r="GV25" s="125" t="str">
        <f>IFERROR(VLOOKUP(GV24,教师安排!$A:$Y,GV$2+1,FALSE),"")</f>
        <v>蒋心言</v>
      </c>
      <c r="GW25" s="125" t="str">
        <f>IFERROR(VLOOKUP(GW24,教师安排!$A:$Y,GW$2+1,FALSE),"")</f>
        <v>张雯皓</v>
      </c>
      <c r="GX25" s="125">
        <f>IFERROR(VLOOKUP(GX24,教师安排!$A:$Y,GX$2+1,FALSE),"")</f>
        <v>0</v>
      </c>
      <c r="GY25" s="125" t="str">
        <f>IFERROR(VLOOKUP(GY24,教师安排!$A:$Y,GY$2+1,FALSE),"")</f>
        <v>孙显阳</v>
      </c>
      <c r="GZ25" s="125" t="str">
        <f>IFERROR(VLOOKUP(GZ24,教师安排!$A:$Y,GZ$2+1,FALSE),"")</f>
        <v>王露</v>
      </c>
      <c r="HA25" s="125" t="str">
        <f>IFERROR(VLOOKUP(HA24,教师安排!$A:$Y,HA$2+1,FALSE),"")</f>
        <v>张鑫</v>
      </c>
      <c r="HB25" s="125" t="str">
        <f>IFERROR(VLOOKUP(HB24,教师安排!$A:$Y,HB$2+1,FALSE),"")</f>
        <v/>
      </c>
      <c r="HC25" s="125" t="str">
        <f>IFERROR(VLOOKUP(HC24,教师安排!$A:$Y,HC$2+1,FALSE),"")</f>
        <v>岳海霞</v>
      </c>
      <c r="HD25" s="125" t="str">
        <f>IFERROR(VLOOKUP(HD24,教师安排!$A:$Y,HD$2+1,FALSE),"")</f>
        <v/>
      </c>
      <c r="HE25" s="125" t="str">
        <f>IFERROR(VLOOKUP(HE24,教师安排!$A:$Y,HE$2+1,FALSE),"")</f>
        <v>厉彦龙</v>
      </c>
      <c r="HF25" s="125"/>
      <c r="HG25" s="125" t="str">
        <f>IFERROR(VLOOKUP(HG24,教师安排!$A:$Y,HG$2+1,FALSE),"")</f>
        <v/>
      </c>
      <c r="HH25" s="125" t="str">
        <f>IFERROR(VLOOKUP(HH24,教师安排!$A:$Y,HH$2+1,FALSE),"")</f>
        <v/>
      </c>
      <c r="HI25" s="125" t="str">
        <f>IFERROR(VLOOKUP(HI24,教师安排!$A:$Y,HI$2+1,FALSE),"")</f>
        <v/>
      </c>
      <c r="HJ25" s="125" t="str">
        <f>IFERROR(VLOOKUP(HJ24,教师安排!$A:$Y,HJ$2+1,FALSE),"")</f>
        <v/>
      </c>
      <c r="HK25" s="126" t="str">
        <f>IFERROR(VLOOKUP(HK24,教师安排!$A:$Y,HK$2+1,FALSE),"")</f>
        <v>杨彬</v>
      </c>
      <c r="HL25" s="126" t="str">
        <f>IFERROR(VLOOKUP(HL24,教师安排!$A:$Y,HL$2+1,FALSE),"")</f>
        <v>岳/厉</v>
      </c>
      <c r="HM25" s="126" t="str">
        <f>IFERROR(VLOOKUP(HM24,教师安排!$A:$Y,HM$2+1,FALSE),"")</f>
        <v>岳/厉</v>
      </c>
      <c r="HN25" s="126" t="str">
        <f>IFERROR(VLOOKUP(HN24,教师安排!$A:$Y,HN$2+1,FALSE),"")</f>
        <v>王庆超</v>
      </c>
      <c r="HO25" s="126" t="str">
        <f>IFERROR(VLOOKUP(HO24,教师安排!$A:$Y,HO$2+1,FALSE),"")</f>
        <v>孙存义</v>
      </c>
      <c r="HP25" s="126" t="str">
        <f>IFERROR(VLOOKUP(HP24,教师安排!$A:$Y,HP$2+1,FALSE),"")</f>
        <v>王露</v>
      </c>
      <c r="HQ25" s="126" t="str">
        <f>IFERROR(VLOOKUP(HQ24,教师安排!$A:$Y,HQ$2+1,FALSE),"")</f>
        <v>孙锦锦</v>
      </c>
      <c r="HR25" s="126" t="str">
        <f>IFERROR(VLOOKUP(HR24,教师安排!$A:$Y,HR$2+1,FALSE),"")</f>
        <v>宋平</v>
      </c>
      <c r="HS25" s="126" t="str">
        <f>IFERROR(VLOOKUP(HS24,教师安排!$A:$Y,HS$2+1,FALSE),"")</f>
        <v>张冰雪</v>
      </c>
      <c r="HT25" s="126" t="str">
        <f>IFERROR(VLOOKUP(HT24,教师安排!$A:$Y,HT$2+1,FALSE),"")</f>
        <v>孙娜</v>
      </c>
      <c r="HU25" s="126" t="str">
        <f>IFERROR(VLOOKUP(HU24,教师安排!$A:$Y,HU$2+1,FALSE),"")</f>
        <v>孙显阳</v>
      </c>
      <c r="HV25" s="126">
        <f>IFERROR(VLOOKUP(HV24,教师安排!$A:$Y,HV$2+1,FALSE),"")</f>
        <v>0</v>
      </c>
      <c r="HW25" s="126" t="str">
        <f>IFERROR(VLOOKUP(HW24,教师安排!$A:$Y,HW$2+1,FALSE),"")</f>
        <v>夏文杰</v>
      </c>
      <c r="HX25" s="126" t="str">
        <f>IFERROR(VLOOKUP(HX24,教师安排!$A:$Y,HX$2+1,FALSE),"")</f>
        <v>李浩然</v>
      </c>
      <c r="HY25" s="126" t="str">
        <f>IFERROR(VLOOKUP(HY24,教师安排!$A:$Y,HY$2+1,FALSE),"")</f>
        <v>高文凤</v>
      </c>
      <c r="HZ25" s="126" t="str">
        <f>IFERROR(VLOOKUP(HZ24,教师安排!$A:$Y,HZ$2+1,FALSE),"")</f>
        <v/>
      </c>
      <c r="IA25" s="126" t="str">
        <f>IFERROR(VLOOKUP(IA24,教师安排!$A:$Y,IA$2+1,FALSE),"")</f>
        <v>岳海霞</v>
      </c>
      <c r="IB25" s="126" t="str">
        <f>IFERROR(VLOOKUP(IB24,教师安排!$A:$Y,IB$2+1,FALSE),"")</f>
        <v/>
      </c>
      <c r="IC25" s="126" t="str">
        <f>IFERROR(VLOOKUP(IC24,教师安排!$A:$Y,IC$2+1,FALSE),"")</f>
        <v>厉彦龙</v>
      </c>
      <c r="ID25" s="126"/>
      <c r="IE25" s="126" t="str">
        <f>IFERROR(VLOOKUP(IE24,教师安排!$A:$Y,IE$2+1,FALSE),"")</f>
        <v/>
      </c>
      <c r="IF25" s="126" t="str">
        <f>IFERROR(VLOOKUP(IF24,教师安排!$A:$Y,IF$2+1,FALSE),"")</f>
        <v/>
      </c>
      <c r="IG25" s="126" t="str">
        <f>IFERROR(VLOOKUP(IG24,教师安排!$A:$Y,IG$2+1,FALSE),"")</f>
        <v/>
      </c>
      <c r="IH25" s="126" t="str">
        <f>IFERROR(VLOOKUP(IH24,教师安排!$A:$Y,IH$2+1,FALSE),"")</f>
        <v/>
      </c>
      <c r="II25" s="125" t="str">
        <f>IFERROR(VLOOKUP(II24,教师安排!$A:$Y,II$2+1,FALSE),"")</f>
        <v>马崇庆</v>
      </c>
      <c r="IJ25" s="125" t="str">
        <f>IFERROR(VLOOKUP(IJ24,教师安排!$A:$Y,IJ$2+1,FALSE),"")</f>
        <v>刘珊珊</v>
      </c>
      <c r="IK25" s="125" t="str">
        <f>IFERROR(VLOOKUP(IK24,教师安排!$A:$Y,IK$2+1,FALSE),"")</f>
        <v>周兴玲</v>
      </c>
      <c r="IL25" s="125">
        <f>IFERROR(VLOOKUP(IL24,教师安排!$A:$Y,IL$2+1,FALSE),"")</f>
        <v>0</v>
      </c>
      <c r="IM25" s="125" t="str">
        <f>IFERROR(VLOOKUP(IM24,教师安排!$A:$Y,IM$2+1,FALSE),"")</f>
        <v>孙显阳</v>
      </c>
      <c r="IN25" s="125" t="str">
        <f>IFERROR(VLOOKUP(IN24,教师安排!$A:$Y,IN$2+1,FALSE),"")</f>
        <v>翟淑玮</v>
      </c>
      <c r="IO25" s="125" t="str">
        <f>IFERROR(VLOOKUP(IO24,教师安排!$A:$Y,IO$2+1,FALSE),"")</f>
        <v>韩丽梅</v>
      </c>
      <c r="IP25" s="125" t="str">
        <f>IFERROR(VLOOKUP(IP24,教师安排!$A:$Y,IP$2+1,FALSE),"")</f>
        <v>宋平</v>
      </c>
      <c r="IQ25" s="125" t="str">
        <f>IFERROR(VLOOKUP(IQ24,教师安排!$A:$Y,IQ$2+1,FALSE),"")</f>
        <v>刘腾</v>
      </c>
      <c r="IR25" s="125" t="str">
        <f>IFERROR(VLOOKUP(IR24,教师安排!$A:$Y,IR$2+1,FALSE),"")</f>
        <v>孙娜</v>
      </c>
      <c r="IS25" s="125" t="str">
        <f>IFERROR(VLOOKUP(IS24,教师安排!$A:$Y,IS$2+1,FALSE),"")</f>
        <v>孙锦锦</v>
      </c>
      <c r="IT25" s="125">
        <f>IFERROR(VLOOKUP(IT24,教师安排!$A:$Y,IT$2+1,FALSE),"")</f>
        <v>0</v>
      </c>
      <c r="IU25" s="125" t="str">
        <f>IFERROR(VLOOKUP(IU24,教师安排!$A:$Y,IU$2+1,FALSE),"")</f>
        <v>夏文杰</v>
      </c>
      <c r="IV25" s="125" t="str">
        <f>IFERROR(VLOOKUP(IV24,教师安排!$A:$Y,IV$2+1,FALSE),"")</f>
        <v>李浩然</v>
      </c>
      <c r="IW25" s="125" t="str">
        <f>IFERROR(VLOOKUP(IW24,教师安排!$A:$Y,IW$2+1,FALSE),"")</f>
        <v>高文凤</v>
      </c>
      <c r="IX25" s="125" t="str">
        <f>IFERROR(VLOOKUP(IX24,教师安排!$A:$Y,IX$2+1,FALSE),"")</f>
        <v/>
      </c>
      <c r="IY25" s="125" t="str">
        <f>IFERROR(VLOOKUP(IY24,教师安排!$A:$Y,IY$2+1,FALSE),"")</f>
        <v/>
      </c>
      <c r="IZ25" s="125" t="str">
        <f>IFERROR(VLOOKUP(IZ24,教师安排!$A:$Y,IZ$2+1,FALSE),"")</f>
        <v/>
      </c>
      <c r="JA25" s="125" t="str">
        <f>IFERROR(VLOOKUP(JA24,教师安排!$A:$Y,JA$2+1,FALSE),"")</f>
        <v/>
      </c>
      <c r="JB25" s="125"/>
      <c r="JC25" s="125" t="str">
        <f>IFERROR(VLOOKUP(JC24,教师安排!$A:$Y,JC$2+1,FALSE),"")</f>
        <v/>
      </c>
      <c r="JD25" s="125" t="str">
        <f>IFERROR(VLOOKUP(JD24,教师安排!$A:$Y,JD$2+1,FALSE),"")</f>
        <v/>
      </c>
      <c r="JE25" s="125" t="str">
        <f>IFERROR(VLOOKUP(JE24,教师安排!$A:$Y,JE$2+1,FALSE),"")</f>
        <v/>
      </c>
      <c r="JF25" s="125" t="str">
        <f>IFERROR(VLOOKUP(JF24,教师安排!$A:$Y,JF$2+1,FALSE),"")</f>
        <v/>
      </c>
      <c r="JG25" s="126" t="str">
        <f>IFERROR(VLOOKUP(JG24,教师安排!$A:$Y,JG$2+1,FALSE),"")</f>
        <v>张苏</v>
      </c>
      <c r="JH25" s="126" t="str">
        <f>IFERROR(VLOOKUP(JH24,教师安排!$A:$Y,JH$2+1,FALSE),"")</f>
        <v>宋开元</v>
      </c>
      <c r="JI25" s="126" t="str">
        <f>IFERROR(VLOOKUP(JI24,教师安排!$A:$Y,JI$2+1,FALSE),"")</f>
        <v>李雯</v>
      </c>
      <c r="JJ25" s="126" t="str">
        <f>IFERROR(VLOOKUP(JJ24,教师安排!$A:$Y,JJ$2+1,FALSE),"")</f>
        <v>周兴玲</v>
      </c>
      <c r="JK25" s="126" t="str">
        <f>IFERROR(VLOOKUP(JK24,教师安排!$A:$Y,JK$2+1,FALSE),"")</f>
        <v>刘腾</v>
      </c>
      <c r="JL25" s="126" t="str">
        <f>IFERROR(VLOOKUP(JL24,教师安排!$A:$Y,JL$2+1,FALSE),"")</f>
        <v>孙存义</v>
      </c>
      <c r="JM25" s="126" t="str">
        <f>IFERROR(VLOOKUP(JM24,教师安排!$A:$Y,JM$2+1,FALSE),"")</f>
        <v>孙显阳</v>
      </c>
      <c r="JN25" s="126" t="str">
        <f>IFERROR(VLOOKUP(JN24,教师安排!$A:$Y,JN$2+1,FALSE),"")</f>
        <v>康波</v>
      </c>
      <c r="JO25" s="126" t="str">
        <f>IFERROR(VLOOKUP(JO24,教师安排!$A:$Y,JO$2+1,FALSE),"")</f>
        <v>赵雪敏</v>
      </c>
      <c r="JP25" s="126" t="str">
        <f>IFERROR(VLOOKUP(JP24,教师安排!$A:$Y,JP$2+1,FALSE),"")</f>
        <v>董艳华</v>
      </c>
      <c r="JQ25" s="126" t="str">
        <f>IFERROR(VLOOKUP(JQ24,教师安排!$A:$Y,JQ$2+1,FALSE),"")</f>
        <v>范林林</v>
      </c>
      <c r="JR25" s="126">
        <f>IFERROR(VLOOKUP(JR24,教师安排!$A:$Y,JR$2+1,FALSE),"")</f>
        <v>0</v>
      </c>
      <c r="JS25" s="126" t="str">
        <f>IFERROR(VLOOKUP(JS24,教师安排!$A:$Y,JS$2+1,FALSE),"")</f>
        <v>夏文杰</v>
      </c>
      <c r="JT25" s="126" t="str">
        <f>IFERROR(VLOOKUP(JT24,教师安排!$A:$Y,JT$2+1,FALSE),"")</f>
        <v>李浩然</v>
      </c>
      <c r="JU25" s="126" t="str">
        <f>IFERROR(VLOOKUP(JU24,教师安排!$A:$Y,JU$2+1,FALSE),"")</f>
        <v>孙秋杰</v>
      </c>
      <c r="JV25" s="126" t="str">
        <f>IFERROR(VLOOKUP(JV24,教师安排!$A:$Y,JV$2+1,FALSE),"")</f>
        <v/>
      </c>
      <c r="JW25" s="126" t="str">
        <f>IFERROR(VLOOKUP(JW24,教师安排!$A:$Y,JW$2+1,FALSE),"")</f>
        <v/>
      </c>
      <c r="JX25" s="126" t="str">
        <f>IFERROR(VLOOKUP(JX24,教师安排!$A:$Y,JX$2+1,FALSE),"")</f>
        <v/>
      </c>
      <c r="JY25" s="126" t="str">
        <f>IFERROR(VLOOKUP(JY24,教师安排!$A:$Y,JY$2+1,FALSE),"")</f>
        <v/>
      </c>
      <c r="JZ25" s="126"/>
      <c r="KA25" s="126" t="str">
        <f>IFERROR(VLOOKUP(KA24,教师安排!$A:$Y,KA$2+1,FALSE),"")</f>
        <v/>
      </c>
      <c r="KB25" s="126" t="str">
        <f>IFERROR(VLOOKUP(KB24,教师安排!$A:$Y,KB$2+1,FALSE),"")</f>
        <v/>
      </c>
      <c r="KC25" s="126" t="str">
        <f>IFERROR(VLOOKUP(KC24,教师安排!$A:$Y,KC$2+1,FALSE),"")</f>
        <v/>
      </c>
      <c r="KD25" s="126" t="str">
        <f>IFERROR(VLOOKUP(KD24,教师安排!$A:$Y,KD$2+1,FALSE),"")</f>
        <v/>
      </c>
    </row>
    <row r="26" spans="1:290" s="116" customFormat="1" ht="18" customHeight="1" x14ac:dyDescent="0.4">
      <c r="A26" s="145"/>
      <c r="B26" s="143" t="s">
        <v>161</v>
      </c>
      <c r="C26" s="121" t="s">
        <v>95</v>
      </c>
      <c r="D26" s="121" t="s">
        <v>95</v>
      </c>
      <c r="E26" s="121" t="s">
        <v>95</v>
      </c>
      <c r="F26" s="121" t="s">
        <v>95</v>
      </c>
      <c r="G26" s="121" t="s">
        <v>95</v>
      </c>
      <c r="H26" s="121" t="s">
        <v>95</v>
      </c>
      <c r="I26" s="121" t="s">
        <v>95</v>
      </c>
      <c r="J26" s="121" t="s">
        <v>95</v>
      </c>
      <c r="K26" s="121" t="s">
        <v>95</v>
      </c>
      <c r="L26" s="121" t="s">
        <v>95</v>
      </c>
      <c r="M26" s="121" t="s">
        <v>95</v>
      </c>
      <c r="N26" s="121"/>
      <c r="O26" s="121" t="s">
        <v>95</v>
      </c>
      <c r="P26" s="121" t="s">
        <v>95</v>
      </c>
      <c r="Q26" s="121" t="s">
        <v>95</v>
      </c>
      <c r="R26" s="121"/>
      <c r="S26" s="121"/>
      <c r="T26" s="121"/>
      <c r="U26" s="121"/>
      <c r="V26" s="121"/>
      <c r="W26" s="121"/>
      <c r="X26" s="121"/>
      <c r="Y26" s="121"/>
      <c r="Z26" s="121"/>
      <c r="AA26" s="122" t="s">
        <v>34</v>
      </c>
      <c r="AB26" s="122" t="s">
        <v>34</v>
      </c>
      <c r="AC26" s="122" t="s">
        <v>26</v>
      </c>
      <c r="AD26" s="122" t="s">
        <v>26</v>
      </c>
      <c r="AE26" s="122" t="s">
        <v>26</v>
      </c>
      <c r="AF26" s="122" t="s">
        <v>26</v>
      </c>
      <c r="AG26" s="122" t="s">
        <v>26</v>
      </c>
      <c r="AH26" s="122" t="s">
        <v>26</v>
      </c>
      <c r="AI26" s="122" t="s">
        <v>34</v>
      </c>
      <c r="AJ26" s="122" t="s">
        <v>26</v>
      </c>
      <c r="AK26" s="122" t="s">
        <v>34</v>
      </c>
      <c r="AL26" s="122"/>
      <c r="AM26" s="122" t="s">
        <v>71</v>
      </c>
      <c r="AN26" s="122" t="s">
        <v>34</v>
      </c>
      <c r="AO26" s="122" t="s">
        <v>34</v>
      </c>
      <c r="AP26" s="122"/>
      <c r="AQ26" s="122"/>
      <c r="AR26" s="122"/>
      <c r="AS26" s="122"/>
      <c r="AT26" s="122"/>
      <c r="AU26" s="122"/>
      <c r="AV26" s="122"/>
      <c r="AW26" s="122"/>
      <c r="AX26" s="122"/>
      <c r="AY26" s="121" t="s">
        <v>26</v>
      </c>
      <c r="AZ26" s="121" t="s">
        <v>26</v>
      </c>
      <c r="BA26" s="121" t="s">
        <v>34</v>
      </c>
      <c r="BB26" s="121" t="s">
        <v>34</v>
      </c>
      <c r="BC26" s="121" t="s">
        <v>34</v>
      </c>
      <c r="BD26" s="121" t="s">
        <v>34</v>
      </c>
      <c r="BE26" s="121" t="s">
        <v>34</v>
      </c>
      <c r="BF26" s="121" t="s">
        <v>34</v>
      </c>
      <c r="BG26" s="121" t="s">
        <v>26</v>
      </c>
      <c r="BH26" s="121" t="s">
        <v>34</v>
      </c>
      <c r="BI26" s="121" t="s">
        <v>71</v>
      </c>
      <c r="BJ26" s="121"/>
      <c r="BK26" s="121" t="s">
        <v>26</v>
      </c>
      <c r="BL26" s="121" t="s">
        <v>26</v>
      </c>
      <c r="BM26" s="121" t="s">
        <v>26</v>
      </c>
      <c r="BN26" s="121"/>
      <c r="BO26" s="121"/>
      <c r="BP26" s="121"/>
      <c r="BQ26" s="121"/>
      <c r="BR26" s="121"/>
      <c r="BS26" s="121"/>
      <c r="BT26" s="121"/>
      <c r="BU26" s="121"/>
      <c r="BV26" s="121"/>
      <c r="BW26" s="122" t="s">
        <v>42</v>
      </c>
      <c r="BX26" s="122" t="s">
        <v>71</v>
      </c>
      <c r="BY26" s="122" t="s">
        <v>76</v>
      </c>
      <c r="BZ26" s="122" t="s">
        <v>42</v>
      </c>
      <c r="CA26" s="122" t="s">
        <v>42</v>
      </c>
      <c r="CB26" s="122" t="s">
        <v>42</v>
      </c>
      <c r="CC26" s="122" t="s">
        <v>42</v>
      </c>
      <c r="CD26" s="122" t="s">
        <v>42</v>
      </c>
      <c r="CE26" s="122" t="s">
        <v>62</v>
      </c>
      <c r="CF26" s="122" t="s">
        <v>42</v>
      </c>
      <c r="CG26" s="122" t="s">
        <v>66</v>
      </c>
      <c r="CH26" s="122"/>
      <c r="CI26" s="122" t="s">
        <v>66</v>
      </c>
      <c r="CJ26" s="122" t="s">
        <v>71</v>
      </c>
      <c r="CK26" s="122" t="s">
        <v>71</v>
      </c>
      <c r="CL26" s="122" t="s">
        <v>136</v>
      </c>
      <c r="CM26" s="122"/>
      <c r="CN26" s="122" t="s">
        <v>138</v>
      </c>
      <c r="CO26" s="122"/>
      <c r="CP26" s="122"/>
      <c r="CQ26" s="122"/>
      <c r="CR26" s="122"/>
      <c r="CS26" s="122"/>
      <c r="CT26" s="122"/>
      <c r="CU26" s="121" t="s">
        <v>54</v>
      </c>
      <c r="CV26" s="121" t="s">
        <v>42</v>
      </c>
      <c r="CW26" s="121" t="s">
        <v>42</v>
      </c>
      <c r="CX26" s="121" t="s">
        <v>71</v>
      </c>
      <c r="CY26" s="121" t="s">
        <v>54</v>
      </c>
      <c r="CZ26" s="121" t="s">
        <v>58</v>
      </c>
      <c r="DA26" s="121" t="s">
        <v>58</v>
      </c>
      <c r="DB26" s="121" t="s">
        <v>58</v>
      </c>
      <c r="DC26" s="121" t="s">
        <v>42</v>
      </c>
      <c r="DD26" s="121" t="s">
        <v>62</v>
      </c>
      <c r="DE26" s="121" t="s">
        <v>76</v>
      </c>
      <c r="DF26" s="121"/>
      <c r="DG26" s="121" t="s">
        <v>42</v>
      </c>
      <c r="DH26" s="121" t="s">
        <v>42</v>
      </c>
      <c r="DI26" s="121" t="s">
        <v>42</v>
      </c>
      <c r="DJ26" s="121"/>
      <c r="DK26" s="121" t="s">
        <v>136</v>
      </c>
      <c r="DL26" s="121"/>
      <c r="DM26" s="121" t="s">
        <v>138</v>
      </c>
      <c r="DN26" s="121"/>
      <c r="DO26" s="121" t="s">
        <v>138</v>
      </c>
      <c r="DP26" s="121" t="s">
        <v>136</v>
      </c>
      <c r="DQ26" s="121" t="s">
        <v>136</v>
      </c>
      <c r="DR26" s="121" t="s">
        <v>136</v>
      </c>
      <c r="DS26" s="122"/>
      <c r="DT26" s="122"/>
      <c r="DU26" s="122"/>
      <c r="DV26" s="122"/>
      <c r="DW26" s="122"/>
      <c r="DX26" s="122"/>
      <c r="DY26" s="122"/>
      <c r="DZ26" s="122"/>
      <c r="EA26" s="122"/>
      <c r="EB26" s="122"/>
      <c r="EC26" s="122"/>
      <c r="ED26" s="122"/>
      <c r="EE26" s="122"/>
      <c r="EF26" s="122"/>
      <c r="EG26" s="122"/>
      <c r="EH26" s="122"/>
      <c r="EI26" s="122"/>
      <c r="EJ26" s="122"/>
      <c r="EK26" s="122"/>
      <c r="EL26" s="122"/>
      <c r="EM26" s="122"/>
      <c r="EN26" s="122"/>
      <c r="EO26" s="122"/>
      <c r="EP26" s="122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2" t="s">
        <v>95</v>
      </c>
      <c r="FP26" s="122" t="s">
        <v>95</v>
      </c>
      <c r="FQ26" s="122" t="s">
        <v>95</v>
      </c>
      <c r="FR26" s="122" t="s">
        <v>95</v>
      </c>
      <c r="FS26" s="122" t="s">
        <v>95</v>
      </c>
      <c r="FT26" s="122" t="s">
        <v>95</v>
      </c>
      <c r="FU26" s="122" t="s">
        <v>95</v>
      </c>
      <c r="FV26" s="122" t="s">
        <v>95</v>
      </c>
      <c r="FW26" s="122" t="s">
        <v>95</v>
      </c>
      <c r="FX26" s="122" t="s">
        <v>95</v>
      </c>
      <c r="FY26" s="122" t="s">
        <v>95</v>
      </c>
      <c r="FZ26" s="122"/>
      <c r="GA26" s="122" t="s">
        <v>95</v>
      </c>
      <c r="GB26" s="122" t="s">
        <v>95</v>
      </c>
      <c r="GC26" s="122" t="s">
        <v>95</v>
      </c>
      <c r="GD26" s="122"/>
      <c r="GE26" s="122"/>
      <c r="GF26" s="122"/>
      <c r="GG26" s="122"/>
      <c r="GH26" s="122"/>
      <c r="GI26" s="122"/>
      <c r="GJ26" s="122"/>
      <c r="GK26" s="122"/>
      <c r="GL26" s="122"/>
      <c r="GM26" s="121" t="s">
        <v>58</v>
      </c>
      <c r="GN26" s="121" t="s">
        <v>66</v>
      </c>
      <c r="GO26" s="121" t="s">
        <v>66</v>
      </c>
      <c r="GP26" s="121" t="s">
        <v>76</v>
      </c>
      <c r="GQ26" s="121" t="s">
        <v>58</v>
      </c>
      <c r="GR26" s="121" t="s">
        <v>62</v>
      </c>
      <c r="GS26" s="121" t="s">
        <v>76</v>
      </c>
      <c r="GT26" s="121" t="s">
        <v>76</v>
      </c>
      <c r="GU26" s="121" t="s">
        <v>76</v>
      </c>
      <c r="GV26" s="121" t="s">
        <v>66</v>
      </c>
      <c r="GW26" s="121" t="s">
        <v>26</v>
      </c>
      <c r="GX26" s="121"/>
      <c r="GY26" s="121" t="s">
        <v>34</v>
      </c>
      <c r="GZ26" s="121" t="s">
        <v>34</v>
      </c>
      <c r="HA26" s="121" t="s">
        <v>66</v>
      </c>
      <c r="HB26" s="121"/>
      <c r="HC26" s="121"/>
      <c r="HD26" s="121"/>
      <c r="HE26" s="121"/>
      <c r="HF26" s="121"/>
      <c r="HG26" s="121"/>
      <c r="HH26" s="121"/>
      <c r="HI26" s="121"/>
      <c r="HJ26" s="121"/>
      <c r="HK26" s="122" t="s">
        <v>62</v>
      </c>
      <c r="HL26" s="122" t="s">
        <v>76</v>
      </c>
      <c r="HM26" s="122" t="s">
        <v>71</v>
      </c>
      <c r="HN26" s="122" t="s">
        <v>66</v>
      </c>
      <c r="HO26" s="122" t="s">
        <v>62</v>
      </c>
      <c r="HP26" s="122" t="s">
        <v>54</v>
      </c>
      <c r="HQ26" s="122" t="s">
        <v>26</v>
      </c>
      <c r="HR26" s="122" t="s">
        <v>54</v>
      </c>
      <c r="HS26" s="122" t="s">
        <v>66</v>
      </c>
      <c r="HT26" s="122" t="s">
        <v>76</v>
      </c>
      <c r="HU26" s="122" t="s">
        <v>42</v>
      </c>
      <c r="HV26" s="122"/>
      <c r="HW26" s="122" t="s">
        <v>76</v>
      </c>
      <c r="HX26" s="122" t="s">
        <v>66</v>
      </c>
      <c r="HY26" s="122" t="s">
        <v>34</v>
      </c>
      <c r="HZ26" s="122"/>
      <c r="IA26" s="122"/>
      <c r="IB26" s="122"/>
      <c r="IC26" s="122"/>
      <c r="ID26" s="122"/>
      <c r="IE26" s="122"/>
      <c r="IF26" s="122"/>
      <c r="IG26" s="122"/>
      <c r="IH26" s="122"/>
      <c r="II26" s="121" t="s">
        <v>34</v>
      </c>
      <c r="IJ26" s="121" t="s">
        <v>34</v>
      </c>
      <c r="IK26" s="121" t="s">
        <v>26</v>
      </c>
      <c r="IL26" s="121" t="s">
        <v>26</v>
      </c>
      <c r="IM26" s="121" t="s">
        <v>26</v>
      </c>
      <c r="IN26" s="121" t="s">
        <v>26</v>
      </c>
      <c r="IO26" s="121" t="s">
        <v>54</v>
      </c>
      <c r="IP26" s="121" t="s">
        <v>26</v>
      </c>
      <c r="IQ26" s="121" t="s">
        <v>34</v>
      </c>
      <c r="IR26" s="121" t="s">
        <v>34</v>
      </c>
      <c r="IS26" s="121" t="s">
        <v>34</v>
      </c>
      <c r="IT26" s="121"/>
      <c r="IU26" s="121" t="s">
        <v>26</v>
      </c>
      <c r="IV26" s="121" t="s">
        <v>76</v>
      </c>
      <c r="IW26" s="121" t="s">
        <v>76</v>
      </c>
      <c r="IX26" s="121"/>
      <c r="IY26" s="121"/>
      <c r="IZ26" s="121"/>
      <c r="JA26" s="121"/>
      <c r="JB26" s="121"/>
      <c r="JC26" s="121"/>
      <c r="JD26" s="121"/>
      <c r="JE26" s="121"/>
      <c r="JF26" s="121"/>
      <c r="JG26" s="122"/>
      <c r="JH26" s="122"/>
      <c r="JI26" s="122"/>
      <c r="JJ26" s="122"/>
      <c r="JK26" s="122"/>
      <c r="JL26" s="122"/>
      <c r="JM26" s="122"/>
      <c r="JN26" s="122"/>
      <c r="JO26" s="122"/>
      <c r="JP26" s="122"/>
      <c r="JQ26" s="122"/>
      <c r="JR26" s="122"/>
      <c r="JS26" s="122"/>
      <c r="JT26" s="122"/>
      <c r="JU26" s="122"/>
      <c r="JV26" s="122"/>
      <c r="JW26" s="122"/>
      <c r="JX26" s="122"/>
      <c r="JY26" s="122"/>
      <c r="JZ26" s="122"/>
      <c r="KA26" s="122"/>
      <c r="KB26" s="122"/>
      <c r="KC26" s="122"/>
      <c r="KD26" s="122"/>
    </row>
    <row r="27" spans="1:290" s="117" customFormat="1" ht="18" customHeight="1" x14ac:dyDescent="0.4">
      <c r="A27" s="145"/>
      <c r="B27" s="143"/>
      <c r="C27" s="125">
        <f>IFERROR(VLOOKUP(C26,教师安排!$A:$Y,C$2+1,FALSE),"")</f>
        <v>0</v>
      </c>
      <c r="D27" s="125">
        <f>IFERROR(VLOOKUP(D26,教师安排!$A:$Y,D$2+1,FALSE),"")</f>
        <v>0</v>
      </c>
      <c r="E27" s="125">
        <f>IFERROR(VLOOKUP(E26,教师安排!$A:$Y,E$2+1,FALSE),"")</f>
        <v>0</v>
      </c>
      <c r="F27" s="125">
        <f>IFERROR(VLOOKUP(F26,教师安排!$A:$Y,F$2+1,FALSE),"")</f>
        <v>0</v>
      </c>
      <c r="G27" s="125">
        <f>IFERROR(VLOOKUP(G26,教师安排!$A:$Y,G$2+1,FALSE),"")</f>
        <v>0</v>
      </c>
      <c r="H27" s="125">
        <f>IFERROR(VLOOKUP(H26,教师安排!$A:$Y,H$2+1,FALSE),"")</f>
        <v>0</v>
      </c>
      <c r="I27" s="125">
        <f>IFERROR(VLOOKUP(I26,教师安排!$A:$Y,I$2+1,FALSE),"")</f>
        <v>0</v>
      </c>
      <c r="J27" s="125">
        <f>IFERROR(VLOOKUP(J26,教师安排!$A:$Y,J$2+1,FALSE),"")</f>
        <v>0</v>
      </c>
      <c r="K27" s="125">
        <f>IFERROR(VLOOKUP(K26,教师安排!$A:$Y,K$2+1,FALSE),"")</f>
        <v>0</v>
      </c>
      <c r="L27" s="125">
        <f>IFERROR(VLOOKUP(L26,教师安排!$A:$Y,L$2+1,FALSE),"")</f>
        <v>0</v>
      </c>
      <c r="M27" s="125">
        <f>IFERROR(VLOOKUP(M26,教师安排!$A:$Y,M$2+1,FALSE),"")</f>
        <v>0</v>
      </c>
      <c r="N27" s="125" t="str">
        <f>IFERROR(VLOOKUP(N26,教师安排!$A:$Y,N$2+1,FALSE),"")</f>
        <v/>
      </c>
      <c r="O27" s="125">
        <f>IFERROR(VLOOKUP(O26,教师安排!$A:$Y,O$2+1,FALSE),"")</f>
        <v>0</v>
      </c>
      <c r="P27" s="125">
        <f>IFERROR(VLOOKUP(P26,教师安排!$A:$Y,P$2+1,FALSE),"")</f>
        <v>0</v>
      </c>
      <c r="Q27" s="125">
        <f>IFERROR(VLOOKUP(Q26,教师安排!$A:$Y,Q$2+1,FALSE),"")</f>
        <v>0</v>
      </c>
      <c r="R27" s="125"/>
      <c r="S27" s="125"/>
      <c r="T27" s="125"/>
      <c r="U27" s="125"/>
      <c r="V27" s="125"/>
      <c r="W27" s="125"/>
      <c r="X27" s="125"/>
      <c r="Y27" s="125"/>
      <c r="Z27" s="125"/>
      <c r="AA27" s="126" t="str">
        <f>IFERROR(VLOOKUP(AA26,教师安排!$A:$Y,AA$2+1,FALSE),"")</f>
        <v>侯淑贤</v>
      </c>
      <c r="AB27" s="126" t="str">
        <f>IFERROR(VLOOKUP(AB26,教师安排!$A:$Y,AB$2+1,FALSE),"")</f>
        <v>姚来朋</v>
      </c>
      <c r="AC27" s="126" t="str">
        <f>IFERROR(VLOOKUP(AC26,教师安排!$A:$Y,AC$2+1,FALSE),"")</f>
        <v>杨彬</v>
      </c>
      <c r="AD27" s="126" t="str">
        <f>IFERROR(VLOOKUP(AD26,教师安排!$A:$Y,AD$2+1,FALSE),"")</f>
        <v>史振塞</v>
      </c>
      <c r="AE27" s="126" t="str">
        <f>IFERROR(VLOOKUP(AE26,教师安排!$A:$Y,AE$2+1,FALSE),"")</f>
        <v>张冰雪</v>
      </c>
      <c r="AF27" s="126" t="str">
        <f>IFERROR(VLOOKUP(AF26,教师安排!$A:$Y,AF$2+1,FALSE),"")</f>
        <v>姜媛媛</v>
      </c>
      <c r="AG27" s="126" t="str">
        <f>IFERROR(VLOOKUP(AG26,教师安排!$A:$Y,AG$2+1,FALSE),"")</f>
        <v>王雪莲</v>
      </c>
      <c r="AH27" s="126" t="str">
        <f>IFERROR(VLOOKUP(AH26,教师安排!$A:$Y,AH$2+1,FALSE),"")</f>
        <v>路睿</v>
      </c>
      <c r="AI27" s="126" t="str">
        <f>IFERROR(VLOOKUP(AI26,教师安排!$A:$Y,AI$2+1,FALSE),"")</f>
        <v>赵雪敏</v>
      </c>
      <c r="AJ27" s="126" t="str">
        <f>IFERROR(VLOOKUP(AJ26,教师安排!$A:$Y,AJ$2+1,FALSE),"")</f>
        <v>王菲</v>
      </c>
      <c r="AK27" s="126" t="str">
        <f>IFERROR(VLOOKUP(AK26,教师安排!$A:$Y,AK$2+1,FALSE),"")</f>
        <v>范林林</v>
      </c>
      <c r="AL27" s="126" t="str">
        <f>IFERROR(VLOOKUP(AL26,教师安排!$A:$Y,AL$2+1,FALSE),"")</f>
        <v/>
      </c>
      <c r="AM27" s="126" t="str">
        <f>IFERROR(VLOOKUP(AM26,教师安排!$A:$Y,AM$2+1,FALSE),"")</f>
        <v>李浩然</v>
      </c>
      <c r="AN27" s="126" t="str">
        <f>IFERROR(VLOOKUP(AN26,教师安排!$A:$Y,AN$2+1,FALSE),"")</f>
        <v>王露</v>
      </c>
      <c r="AO27" s="126" t="str">
        <f>IFERROR(VLOOKUP(AO26,教师安排!$A:$Y,AO$2+1,FALSE),"")</f>
        <v>高文凤</v>
      </c>
      <c r="AP27" s="126"/>
      <c r="AQ27" s="126"/>
      <c r="AR27" s="126"/>
      <c r="AS27" s="126"/>
      <c r="AT27" s="126"/>
      <c r="AU27" s="126"/>
      <c r="AV27" s="126"/>
      <c r="AW27" s="126"/>
      <c r="AX27" s="126"/>
      <c r="AY27" s="125" t="str">
        <f>IFERROR(VLOOKUP(AY26,教师安排!$A:$Y,AY$2+1,FALSE),"")</f>
        <v>杨彬</v>
      </c>
      <c r="AZ27" s="125" t="str">
        <f>IFERROR(VLOOKUP(AZ26,教师安排!$A:$Y,AZ$2+1,FALSE),"")</f>
        <v>史振塞</v>
      </c>
      <c r="BA27" s="125" t="str">
        <f>IFERROR(VLOOKUP(BA26,教师安排!$A:$Y,BA$2+1,FALSE),"")</f>
        <v>姚来朋</v>
      </c>
      <c r="BB27" s="125" t="str">
        <f>IFERROR(VLOOKUP(BB26,教师安排!$A:$Y,BB$2+1,FALSE),"")</f>
        <v>侯淑贤</v>
      </c>
      <c r="BC27" s="125" t="str">
        <f>IFERROR(VLOOKUP(BC26,教师安排!$A:$Y,BC$2+1,FALSE),"")</f>
        <v>赵雪敏</v>
      </c>
      <c r="BD27" s="125" t="str">
        <f>IFERROR(VLOOKUP(BD26,教师安排!$A:$Y,BD$2+1,FALSE),"")</f>
        <v>王露</v>
      </c>
      <c r="BE27" s="125" t="str">
        <f>IFERROR(VLOOKUP(BE26,教师安排!$A:$Y,BE$2+1,FALSE),"")</f>
        <v>范林林</v>
      </c>
      <c r="BF27" s="125" t="str">
        <f>IFERROR(VLOOKUP(BF26,教师安排!$A:$Y,BF$2+1,FALSE),"")</f>
        <v>高文凤</v>
      </c>
      <c r="BG27" s="125" t="str">
        <f>IFERROR(VLOOKUP(BG26,教师安排!$A:$Y,BG$2+1,FALSE),"")</f>
        <v>张冰雪</v>
      </c>
      <c r="BH27" s="125" t="str">
        <f>IFERROR(VLOOKUP(BH26,教师安排!$A:$Y,BH$2+1,FALSE),"")</f>
        <v>孙娜</v>
      </c>
      <c r="BI27" s="125" t="str">
        <f>IFERROR(VLOOKUP(BI26,教师安排!$A:$Y,BI$2+1,FALSE),"")</f>
        <v>张雯皓</v>
      </c>
      <c r="BJ27" s="125" t="str">
        <f>IFERROR(VLOOKUP(BJ26,教师安排!$A:$Y,BJ$2+1,FALSE),"")</f>
        <v/>
      </c>
      <c r="BK27" s="125" t="str">
        <f>IFERROR(VLOOKUP(BK26,教师安排!$A:$Y,BK$2+1,FALSE),"")</f>
        <v>王菲</v>
      </c>
      <c r="BL27" s="125" t="str">
        <f>IFERROR(VLOOKUP(BL26,教师安排!$A:$Y,BL$2+1,FALSE),"")</f>
        <v>姜媛媛</v>
      </c>
      <c r="BM27" s="125" t="str">
        <f>IFERROR(VLOOKUP(BM26,教师安排!$A:$Y,BM$2+1,FALSE),"")</f>
        <v>路睿</v>
      </c>
      <c r="BN27" s="125"/>
      <c r="BO27" s="125"/>
      <c r="BP27" s="125"/>
      <c r="BQ27" s="125"/>
      <c r="BR27" s="125"/>
      <c r="BS27" s="125"/>
      <c r="BT27" s="125"/>
      <c r="BU27" s="125"/>
      <c r="BV27" s="125"/>
      <c r="BW27" s="126" t="str">
        <f>IFERROR(VLOOKUP(BW26,教师安排!$A:$Y,BW$2+1,FALSE),"")</f>
        <v>岳/厉</v>
      </c>
      <c r="BX27" s="126" t="str">
        <f>IFERROR(VLOOKUP(BX26,教师安排!$A:$Y,BX$2+1,FALSE),"")</f>
        <v>刘珊珊</v>
      </c>
      <c r="BY27" s="126" t="str">
        <f>IFERROR(VLOOKUP(BY26,教师安排!$A:$Y,BY$2+1,FALSE),"")</f>
        <v>李会玲</v>
      </c>
      <c r="BZ27" s="126" t="str">
        <f>IFERROR(VLOOKUP(BZ26,教师安排!$A:$Y,BZ$2+1,FALSE),"")</f>
        <v>岳/厉</v>
      </c>
      <c r="CA27" s="126" t="str">
        <f>IFERROR(VLOOKUP(CA26,教师安排!$A:$Y,CA$2+1,FALSE),"")</f>
        <v>王灼</v>
      </c>
      <c r="CB27" s="126" t="str">
        <f>IFERROR(VLOOKUP(CB26,教师安排!$A:$Y,CB$2+1,FALSE),"")</f>
        <v>翟淑玮</v>
      </c>
      <c r="CC27" s="126" t="str">
        <f>IFERROR(VLOOKUP(CC26,教师安排!$A:$Y,CC$2+1,FALSE),"")</f>
        <v>韩丽梅</v>
      </c>
      <c r="CD27" s="126" t="str">
        <f>IFERROR(VLOOKUP(CD26,教师安排!$A:$Y,CD$2+1,FALSE),"")</f>
        <v>宋平</v>
      </c>
      <c r="CE27" s="126" t="str">
        <f>IFERROR(VLOOKUP(CE26,教师安排!$A:$Y,CE$2+1,FALSE),"")</f>
        <v>刘腾</v>
      </c>
      <c r="CF27" s="126" t="str">
        <f>IFERROR(VLOOKUP(CF26,教师安排!$A:$Y,CF$2+1,FALSE),"")</f>
        <v>胡存想</v>
      </c>
      <c r="CG27" s="126" t="str">
        <f>IFERROR(VLOOKUP(CG26,教师安排!$A:$Y,CG$2+1,FALSE),"")</f>
        <v>田凤美</v>
      </c>
      <c r="CH27" s="126" t="str">
        <f>IFERROR(VLOOKUP(CH26,教师安排!$A:$Y,CH$2+1,FALSE),"")</f>
        <v/>
      </c>
      <c r="CI27" s="126" t="str">
        <f>IFERROR(VLOOKUP(CI26,教师安排!$A:$Y,CI$2+1,FALSE),"")</f>
        <v>夏文杰</v>
      </c>
      <c r="CJ27" s="126" t="str">
        <f>IFERROR(VLOOKUP(CJ26,教师安排!$A:$Y,CJ$2+1,FALSE),"")</f>
        <v>李浩然</v>
      </c>
      <c r="CK27" s="126" t="str">
        <f>IFERROR(VLOOKUP(CK26,教师安排!$A:$Y,CK$2+1,FALSE),"")</f>
        <v>张鑫</v>
      </c>
      <c r="CL27" s="126" t="str">
        <f>IFERROR(VLOOKUP(CL26,教师安排!$A:$Y,CL$2+1,FALSE),"")</f>
        <v>岳海霞</v>
      </c>
      <c r="CM27" s="126" t="str">
        <f>IFERROR(VLOOKUP(CM26,教师安排!$A:$Y,CM$2+1,FALSE),"")</f>
        <v/>
      </c>
      <c r="CN27" s="126" t="str">
        <f>IFERROR(VLOOKUP(CN26,教师安排!$A:$Y,CN$2+1,FALSE),"")</f>
        <v>厉彦龙</v>
      </c>
      <c r="CO27" s="126" t="str">
        <f>IFERROR(VLOOKUP(CO26,教师安排!$A:$Y,CO$2+1,FALSE),"")</f>
        <v/>
      </c>
      <c r="CP27" s="126" t="str">
        <f>IFERROR(VLOOKUP(CP26,教师安排!$A:$Y,CP$2+1,FALSE),"")</f>
        <v/>
      </c>
      <c r="CQ27" s="126"/>
      <c r="CR27" s="126" t="str">
        <f>IFERROR(VLOOKUP(CR26,教师安排!$A:$Y,CR$2+1,FALSE),"")</f>
        <v/>
      </c>
      <c r="CS27" s="126" t="str">
        <f>IFERROR(VLOOKUP(CS26,教师安排!$A:$Y,CS$2+1,FALSE),"")</f>
        <v/>
      </c>
      <c r="CT27" s="126" t="str">
        <f>IFERROR(VLOOKUP(CT26,教师安排!$A:$Y,CT$2+1,FALSE),"")</f>
        <v/>
      </c>
      <c r="CU27" s="125" t="str">
        <f>IFERROR(VLOOKUP(CU26,教师安排!$A:$Y,CU$2+1,FALSE),"")</f>
        <v>康波</v>
      </c>
      <c r="CV27" s="125" t="str">
        <f>IFERROR(VLOOKUP(CV26,教师安排!$A:$Y,CV$2+1,FALSE),"")</f>
        <v>岳/厉</v>
      </c>
      <c r="CW27" s="125" t="str">
        <f>IFERROR(VLOOKUP(CW26,教师安排!$A:$Y,CW$2+1,FALSE),"")</f>
        <v>岳/厉</v>
      </c>
      <c r="CX27" s="125" t="str">
        <f>IFERROR(VLOOKUP(CX26,教师安排!$A:$Y,CX$2+1,FALSE),"")</f>
        <v>刘珊珊</v>
      </c>
      <c r="CY27" s="125" t="str">
        <f>IFERROR(VLOOKUP(CY26,教师安排!$A:$Y,CY$2+1,FALSE),"")</f>
        <v>孙存义</v>
      </c>
      <c r="CZ27" s="125" t="str">
        <f>IFERROR(VLOOKUP(CZ26,教师安排!$A:$Y,CZ$2+1,FALSE),"")</f>
        <v>李振铎</v>
      </c>
      <c r="DA27" s="125" t="str">
        <f>IFERROR(VLOOKUP(DA26,教师安排!$A:$Y,DA$2+1,FALSE),"")</f>
        <v>马崇庆</v>
      </c>
      <c r="DB27" s="125" t="str">
        <f>IFERROR(VLOOKUP(DB26,教师安排!$A:$Y,DB$2+1,FALSE),"")</f>
        <v>宋开元</v>
      </c>
      <c r="DC27" s="125" t="str">
        <f>IFERROR(VLOOKUP(DC26,教师安排!$A:$Y,DC$2+1,FALSE),"")</f>
        <v>王灼</v>
      </c>
      <c r="DD27" s="125" t="str">
        <f>IFERROR(VLOOKUP(DD26,教师安排!$A:$Y,DD$2+1,FALSE),"")</f>
        <v>蒋心言</v>
      </c>
      <c r="DE27" s="125" t="str">
        <f>IFERROR(VLOOKUP(DE26,教师安排!$A:$Y,DE$2+1,FALSE),"")</f>
        <v>孙锦锦</v>
      </c>
      <c r="DF27" s="125" t="str">
        <f>IFERROR(VLOOKUP(DF26,教师安排!$A:$Y,DF$2+1,FALSE),"")</f>
        <v/>
      </c>
      <c r="DG27" s="125" t="str">
        <f>IFERROR(VLOOKUP(DG26,教师安排!$A:$Y,DG$2+1,FALSE),"")</f>
        <v>宋/韩/王</v>
      </c>
      <c r="DH27" s="125" t="str">
        <f>IFERROR(VLOOKUP(DH26,教师安排!$A:$Y,DH$2+1,FALSE),"")</f>
        <v>翟/韩/王</v>
      </c>
      <c r="DI27" s="125" t="str">
        <f>IFERROR(VLOOKUP(DI26,教师安排!$A:$Y,DI$2+1,FALSE),"")</f>
        <v>胡/韩/王</v>
      </c>
      <c r="DJ27" s="125" t="str">
        <f>IFERROR(VLOOKUP(DJ26,教师安排!$A:$Y,DJ$2+1,FALSE),"")</f>
        <v/>
      </c>
      <c r="DK27" s="125" t="str">
        <f>IFERROR(VLOOKUP(DK26,教师安排!$A:$Y,DK$2+1,FALSE),"")</f>
        <v>岳海霞</v>
      </c>
      <c r="DL27" s="125" t="str">
        <f>IFERROR(VLOOKUP(DL26,教师安排!$A:$Y,DL$2+1,FALSE),"")</f>
        <v/>
      </c>
      <c r="DM27" s="125" t="str">
        <f>IFERROR(VLOOKUP(DM26,教师安排!$A:$Y,DM$2+1,FALSE),"")</f>
        <v>厉彦龙</v>
      </c>
      <c r="DN27" s="125"/>
      <c r="DO27" s="125" t="str">
        <f>IFERROR(VLOOKUP(DO26,教师安排!$A:$Y,DO$2+1,FALSE),"")</f>
        <v>韩丽梅</v>
      </c>
      <c r="DP27" s="125" t="str">
        <f>IFERROR(VLOOKUP(DP26,教师安排!$A:$Y,DP$2+1,FALSE),"")</f>
        <v>宋平</v>
      </c>
      <c r="DQ27" s="125" t="str">
        <f>IFERROR(VLOOKUP(DQ26,教师安排!$A:$Y,DQ$2+1,FALSE),"")</f>
        <v>翟淑玮</v>
      </c>
      <c r="DR27" s="125" t="str">
        <f>IFERROR(VLOOKUP(DR26,教师安排!$A:$Y,DR$2+1,FALSE),"")</f>
        <v>胡存想</v>
      </c>
      <c r="DS27" s="126"/>
      <c r="DT27" s="126"/>
      <c r="DU27" s="126"/>
      <c r="DV27" s="126"/>
      <c r="DW27" s="126"/>
      <c r="DX27" s="126"/>
      <c r="DY27" s="126"/>
      <c r="DZ27" s="126"/>
      <c r="EA27" s="126"/>
      <c r="EB27" s="126"/>
      <c r="EC27" s="126"/>
      <c r="ED27" s="126"/>
      <c r="EE27" s="126"/>
      <c r="EF27" s="126"/>
      <c r="EG27" s="126"/>
      <c r="EH27" s="126"/>
      <c r="EI27" s="126"/>
      <c r="EJ27" s="126"/>
      <c r="EK27" s="126"/>
      <c r="EL27" s="126"/>
      <c r="EM27" s="126"/>
      <c r="EN27" s="126"/>
      <c r="EO27" s="126"/>
      <c r="EP27" s="126"/>
      <c r="EQ27" s="125"/>
      <c r="ER27" s="125"/>
      <c r="ES27" s="125"/>
      <c r="ET27" s="125"/>
      <c r="EU27" s="125"/>
      <c r="EV27" s="125"/>
      <c r="EW27" s="125"/>
      <c r="EX27" s="125"/>
      <c r="EY27" s="125"/>
      <c r="EZ27" s="125"/>
      <c r="FA27" s="125"/>
      <c r="FB27" s="125"/>
      <c r="FC27" s="125"/>
      <c r="FD27" s="125"/>
      <c r="FE27" s="125"/>
      <c r="FF27" s="125"/>
      <c r="FG27" s="125"/>
      <c r="FH27" s="125"/>
      <c r="FI27" s="125"/>
      <c r="FJ27" s="125"/>
      <c r="FK27" s="125"/>
      <c r="FL27" s="125"/>
      <c r="FM27" s="125"/>
      <c r="FN27" s="125"/>
      <c r="FO27" s="126">
        <f>IFERROR(VLOOKUP(FO26,教师安排!$A:$Y,FO$2+1,FALSE),"")</f>
        <v>0</v>
      </c>
      <c r="FP27" s="126">
        <f>IFERROR(VLOOKUP(FP26,教师安排!$A:$Y,FP$2+1,FALSE),"")</f>
        <v>0</v>
      </c>
      <c r="FQ27" s="126">
        <f>IFERROR(VLOOKUP(FQ26,教师安排!$A:$Y,FQ$2+1,FALSE),"")</f>
        <v>0</v>
      </c>
      <c r="FR27" s="126">
        <f>IFERROR(VLOOKUP(FR26,教师安排!$A:$Y,FR$2+1,FALSE),"")</f>
        <v>0</v>
      </c>
      <c r="FS27" s="126">
        <f>IFERROR(VLOOKUP(FS26,教师安排!$A:$Y,FS$2+1,FALSE),"")</f>
        <v>0</v>
      </c>
      <c r="FT27" s="126">
        <f>IFERROR(VLOOKUP(FT26,教师安排!$A:$Y,FT$2+1,FALSE),"")</f>
        <v>0</v>
      </c>
      <c r="FU27" s="126">
        <f>IFERROR(VLOOKUP(FU26,教师安排!$A:$Y,FU$2+1,FALSE),"")</f>
        <v>0</v>
      </c>
      <c r="FV27" s="126">
        <f>IFERROR(VLOOKUP(FV26,教师安排!$A:$Y,FV$2+1,FALSE),"")</f>
        <v>0</v>
      </c>
      <c r="FW27" s="126">
        <f>IFERROR(VLOOKUP(FW26,教师安排!$A:$Y,FW$2+1,FALSE),"")</f>
        <v>0</v>
      </c>
      <c r="FX27" s="126">
        <f>IFERROR(VLOOKUP(FX26,教师安排!$A:$Y,FX$2+1,FALSE),"")</f>
        <v>0</v>
      </c>
      <c r="FY27" s="126">
        <f>IFERROR(VLOOKUP(FY26,教师安排!$A:$Y,FY$2+1,FALSE),"")</f>
        <v>0</v>
      </c>
      <c r="FZ27" s="126" t="str">
        <f>IFERROR(VLOOKUP(FZ26,教师安排!$A:$Y,FZ$2+1,FALSE),"")</f>
        <v/>
      </c>
      <c r="GA27" s="126">
        <f>IFERROR(VLOOKUP(GA26,教师安排!$A:$Y,GA$2+1,FALSE),"")</f>
        <v>0</v>
      </c>
      <c r="GB27" s="126">
        <f>IFERROR(VLOOKUP(GB26,教师安排!$A:$Y,GB$2+1,FALSE),"")</f>
        <v>0</v>
      </c>
      <c r="GC27" s="126">
        <f>IFERROR(VLOOKUP(GC26,教师安排!$A:$Y,GC$2+1,FALSE),"")</f>
        <v>0</v>
      </c>
      <c r="GD27" s="126"/>
      <c r="GE27" s="126"/>
      <c r="GF27" s="126"/>
      <c r="GG27" s="126"/>
      <c r="GH27" s="126"/>
      <c r="GI27" s="126"/>
      <c r="GJ27" s="126"/>
      <c r="GK27" s="126"/>
      <c r="GL27" s="126"/>
      <c r="GM27" s="125" t="str">
        <f>IFERROR(VLOOKUP(GM26,教师安排!$A:$Y,GM$2+1,FALSE),"")</f>
        <v>马崇庆</v>
      </c>
      <c r="GN27" s="125" t="str">
        <f>IFERROR(VLOOKUP(GN26,教师安排!$A:$Y,GN$2+1,FALSE),"")</f>
        <v>田凤美</v>
      </c>
      <c r="GO27" s="125" t="str">
        <f>IFERROR(VLOOKUP(GO26,教师安排!$A:$Y,GO$2+1,FALSE),"")</f>
        <v>李雯</v>
      </c>
      <c r="GP27" s="125" t="str">
        <f>IFERROR(VLOOKUP(GP26,教师安排!$A:$Y,GP$2+1,FALSE),"")</f>
        <v>李会玲</v>
      </c>
      <c r="GQ27" s="125" t="str">
        <f>IFERROR(VLOOKUP(GQ26,教师安排!$A:$Y,GQ$2+1,FALSE),"")</f>
        <v>李振铎</v>
      </c>
      <c r="GR27" s="125" t="str">
        <f>IFERROR(VLOOKUP(GR26,教师安排!$A:$Y,GR$2+1,FALSE),"")</f>
        <v>蒋心言</v>
      </c>
      <c r="GS27" s="125" t="str">
        <f>IFERROR(VLOOKUP(GS26,教师安排!$A:$Y,GS$2+1,FALSE),"")</f>
        <v>孙锦锦</v>
      </c>
      <c r="GT27" s="125" t="str">
        <f>IFERROR(VLOOKUP(GT26,教师安排!$A:$Y,GT$2+1,FALSE),"")</f>
        <v>孙秋杰</v>
      </c>
      <c r="GU27" s="125" t="str">
        <f>IFERROR(VLOOKUP(GU26,教师安排!$A:$Y,GU$2+1,FALSE),"")</f>
        <v>王硕</v>
      </c>
      <c r="GV27" s="125" t="str">
        <f>IFERROR(VLOOKUP(GV26,教师安排!$A:$Y,GV$2+1,FALSE),"")</f>
        <v>董艳华</v>
      </c>
      <c r="GW27" s="125" t="str">
        <f>IFERROR(VLOOKUP(GW26,教师安排!$A:$Y,GW$2+1,FALSE),"")</f>
        <v>路睿</v>
      </c>
      <c r="GX27" s="125" t="str">
        <f>IFERROR(VLOOKUP(GX26,教师安排!$A:$Y,GX$2+1,FALSE),"")</f>
        <v/>
      </c>
      <c r="GY27" s="125" t="str">
        <f>IFERROR(VLOOKUP(GY26,教师安排!$A:$Y,GY$2+1,FALSE),"")</f>
        <v>范林林</v>
      </c>
      <c r="GZ27" s="125" t="str">
        <f>IFERROR(VLOOKUP(GZ26,教师安排!$A:$Y,GZ$2+1,FALSE),"")</f>
        <v>王露</v>
      </c>
      <c r="HA27" s="125" t="str">
        <f>IFERROR(VLOOKUP(HA26,教师安排!$A:$Y,HA$2+1,FALSE),"")</f>
        <v>夏文杰</v>
      </c>
      <c r="HB27" s="125"/>
      <c r="HC27" s="125"/>
      <c r="HD27" s="125"/>
      <c r="HE27" s="125"/>
      <c r="HF27" s="125"/>
      <c r="HG27" s="125"/>
      <c r="HH27" s="125"/>
      <c r="HI27" s="125"/>
      <c r="HJ27" s="125"/>
      <c r="HK27" s="126" t="str">
        <f>IFERROR(VLOOKUP(HK26,教师安排!$A:$Y,HK$2+1,FALSE),"")</f>
        <v>周兴玲</v>
      </c>
      <c r="HL27" s="126" t="str">
        <f>IFERROR(VLOOKUP(HL26,教师安排!$A:$Y,HL$2+1,FALSE),"")</f>
        <v>李会玲</v>
      </c>
      <c r="HM27" s="126" t="str">
        <f>IFERROR(VLOOKUP(HM26,教师安排!$A:$Y,HM$2+1,FALSE),"")</f>
        <v>张雯皓</v>
      </c>
      <c r="HN27" s="126" t="str">
        <f>IFERROR(VLOOKUP(HN26,教师安排!$A:$Y,HN$2+1,FALSE),"")</f>
        <v>李雯</v>
      </c>
      <c r="HO27" s="126" t="str">
        <f>IFERROR(VLOOKUP(HO26,教师安排!$A:$Y,HO$2+1,FALSE),"")</f>
        <v>刘腾</v>
      </c>
      <c r="HP27" s="126" t="str">
        <f>IFERROR(VLOOKUP(HP26,教师安排!$A:$Y,HP$2+1,FALSE),"")</f>
        <v>孙存义</v>
      </c>
      <c r="HQ27" s="126" t="str">
        <f>IFERROR(VLOOKUP(HQ26,教师安排!$A:$Y,HQ$2+1,FALSE),"")</f>
        <v>王雪莲</v>
      </c>
      <c r="HR27" s="126" t="str">
        <f>IFERROR(VLOOKUP(HR26,教师安排!$A:$Y,HR$2+1,FALSE),"")</f>
        <v>康波</v>
      </c>
      <c r="HS27" s="126" t="str">
        <f>IFERROR(VLOOKUP(HS26,教师安排!$A:$Y,HS$2+1,FALSE),"")</f>
        <v>田凤美</v>
      </c>
      <c r="HT27" s="126" t="str">
        <f>IFERROR(VLOOKUP(HT26,教师安排!$A:$Y,HT$2+1,FALSE),"")</f>
        <v>孙秋杰</v>
      </c>
      <c r="HU27" s="126" t="str">
        <f>IFERROR(VLOOKUP(HU26,教师安排!$A:$Y,HU$2+1,FALSE),"")</f>
        <v>王/宋/翟/胡</v>
      </c>
      <c r="HV27" s="126" t="str">
        <f>IFERROR(VLOOKUP(HV26,教师安排!$A:$Y,HV$2+1,FALSE),"")</f>
        <v/>
      </c>
      <c r="HW27" s="126" t="str">
        <f>IFERROR(VLOOKUP(HW26,教师安排!$A:$Y,HW$2+1,FALSE),"")</f>
        <v>王硕</v>
      </c>
      <c r="HX27" s="126" t="str">
        <f>IFERROR(VLOOKUP(HX26,教师安排!$A:$Y,HX$2+1,FALSE),"")</f>
        <v>董艳华</v>
      </c>
      <c r="HY27" s="126" t="str">
        <f>IFERROR(VLOOKUP(HY26,教师安排!$A:$Y,HY$2+1,FALSE),"")</f>
        <v>高文凤</v>
      </c>
      <c r="HZ27" s="126"/>
      <c r="IA27" s="126"/>
      <c r="IB27" s="126"/>
      <c r="IC27" s="126"/>
      <c r="ID27" s="126"/>
      <c r="IE27" s="126"/>
      <c r="IF27" s="126"/>
      <c r="IG27" s="126"/>
      <c r="IH27" s="126"/>
      <c r="II27" s="125" t="str">
        <f>IFERROR(VLOOKUP(II26,教师安排!$A:$Y,II$2+1,FALSE),"")</f>
        <v>侯淑贤</v>
      </c>
      <c r="IJ27" s="125" t="str">
        <f>IFERROR(VLOOKUP(IJ26,教师安排!$A:$Y,IJ$2+1,FALSE),"")</f>
        <v>姚来朋</v>
      </c>
      <c r="IK27" s="125" t="str">
        <f>IFERROR(VLOOKUP(IK26,教师安排!$A:$Y,IK$2+1,FALSE),"")</f>
        <v>杨彬</v>
      </c>
      <c r="IL27" s="125" t="str">
        <f>IFERROR(VLOOKUP(IL26,教师安排!$A:$Y,IL$2+1,FALSE),"")</f>
        <v>史振塞</v>
      </c>
      <c r="IM27" s="125" t="str">
        <f>IFERROR(VLOOKUP(IM26,教师安排!$A:$Y,IM$2+1,FALSE),"")</f>
        <v>张冰雪</v>
      </c>
      <c r="IN27" s="125" t="str">
        <f>IFERROR(VLOOKUP(IN26,教师安排!$A:$Y,IN$2+1,FALSE),"")</f>
        <v>姜媛媛</v>
      </c>
      <c r="IO27" s="125" t="str">
        <f>IFERROR(VLOOKUP(IO26,教师安排!$A:$Y,IO$2+1,FALSE),"")</f>
        <v>孙存义</v>
      </c>
      <c r="IP27" s="125" t="str">
        <f>IFERROR(VLOOKUP(IP26,教师安排!$A:$Y,IP$2+1,FALSE),"")</f>
        <v>路睿</v>
      </c>
      <c r="IQ27" s="125" t="str">
        <f>IFERROR(VLOOKUP(IQ26,教师安排!$A:$Y,IQ$2+1,FALSE),"")</f>
        <v>赵雪敏</v>
      </c>
      <c r="IR27" s="125" t="str">
        <f>IFERROR(VLOOKUP(IR26,教师安排!$A:$Y,IR$2+1,FALSE),"")</f>
        <v>孙娜</v>
      </c>
      <c r="IS27" s="125" t="str">
        <f>IFERROR(VLOOKUP(IS26,教师安排!$A:$Y,IS$2+1,FALSE),"")</f>
        <v>范林林</v>
      </c>
      <c r="IT27" s="125" t="str">
        <f>IFERROR(VLOOKUP(IT26,教师安排!$A:$Y,IT$2+1,FALSE),"")</f>
        <v/>
      </c>
      <c r="IU27" s="125" t="str">
        <f>IFERROR(VLOOKUP(IU26,教师安排!$A:$Y,IU$2+1,FALSE),"")</f>
        <v>王菲</v>
      </c>
      <c r="IV27" s="125" t="str">
        <f>IFERROR(VLOOKUP(IV26,教师安排!$A:$Y,IV$2+1,FALSE),"")</f>
        <v>孙锦锦</v>
      </c>
      <c r="IW27" s="125" t="str">
        <f>IFERROR(VLOOKUP(IW26,教师安排!$A:$Y,IW$2+1,FALSE),"")</f>
        <v>孙秋杰</v>
      </c>
      <c r="IX27" s="125"/>
      <c r="IY27" s="125"/>
      <c r="IZ27" s="125"/>
      <c r="JA27" s="125"/>
      <c r="JB27" s="125"/>
      <c r="JC27" s="125"/>
      <c r="JD27" s="125"/>
      <c r="JE27" s="125"/>
      <c r="JF27" s="125"/>
      <c r="JG27" s="126"/>
      <c r="JH27" s="126"/>
      <c r="JI27" s="126"/>
      <c r="JJ27" s="126"/>
      <c r="JK27" s="126"/>
      <c r="JL27" s="126"/>
      <c r="JM27" s="126"/>
      <c r="JN27" s="126"/>
      <c r="JO27" s="126"/>
      <c r="JP27" s="126"/>
      <c r="JQ27" s="126"/>
      <c r="JR27" s="126"/>
      <c r="JS27" s="126"/>
      <c r="JT27" s="126"/>
      <c r="JU27" s="126"/>
      <c r="JV27" s="126"/>
      <c r="JW27" s="126"/>
      <c r="JX27" s="126"/>
      <c r="JY27" s="126"/>
      <c r="JZ27" s="126"/>
      <c r="KA27" s="126"/>
      <c r="KB27" s="126"/>
      <c r="KC27" s="126"/>
      <c r="KD27" s="126"/>
    </row>
    <row r="28" spans="1:290" s="117" customFormat="1" ht="18" customHeight="1" x14ac:dyDescent="0.3">
      <c r="A28" s="145"/>
      <c r="B28" s="143">
        <v>3</v>
      </c>
      <c r="C28" s="121" t="s">
        <v>95</v>
      </c>
      <c r="D28" s="121" t="s">
        <v>95</v>
      </c>
      <c r="E28" s="121" t="s">
        <v>95</v>
      </c>
      <c r="F28" s="121" t="s">
        <v>95</v>
      </c>
      <c r="G28" s="121" t="s">
        <v>95</v>
      </c>
      <c r="H28" s="121" t="s">
        <v>95</v>
      </c>
      <c r="I28" s="121" t="s">
        <v>95</v>
      </c>
      <c r="J28" s="121" t="s">
        <v>95</v>
      </c>
      <c r="K28" s="121" t="s">
        <v>95</v>
      </c>
      <c r="L28" s="121" t="s">
        <v>95</v>
      </c>
      <c r="M28" s="121" t="s">
        <v>134</v>
      </c>
      <c r="N28" s="121" t="s">
        <v>135</v>
      </c>
      <c r="O28" s="121" t="s">
        <v>95</v>
      </c>
      <c r="P28" s="121" t="s">
        <v>95</v>
      </c>
      <c r="Q28" s="121" t="s">
        <v>95</v>
      </c>
      <c r="R28" s="121"/>
      <c r="S28" s="121"/>
      <c r="T28" s="121"/>
      <c r="U28" s="121"/>
      <c r="V28" s="121"/>
      <c r="W28" s="121"/>
      <c r="X28" s="121"/>
      <c r="Y28" s="121"/>
      <c r="Z28" s="121"/>
      <c r="AA28" s="122" t="s">
        <v>26</v>
      </c>
      <c r="AB28" s="122" t="s">
        <v>42</v>
      </c>
      <c r="AC28" s="122" t="s">
        <v>42</v>
      </c>
      <c r="AD28" s="122" t="s">
        <v>26</v>
      </c>
      <c r="AE28" s="122" t="s">
        <v>58</v>
      </c>
      <c r="AF28" s="122" t="s">
        <v>26</v>
      </c>
      <c r="AG28" s="122" t="s">
        <v>92</v>
      </c>
      <c r="AH28" s="122" t="s">
        <v>58</v>
      </c>
      <c r="AI28" s="122" t="s">
        <v>26</v>
      </c>
      <c r="AJ28" s="122" t="s">
        <v>89</v>
      </c>
      <c r="AK28" s="122" t="s">
        <v>134</v>
      </c>
      <c r="AL28" s="122" t="s">
        <v>135</v>
      </c>
      <c r="AM28" s="122" t="s">
        <v>34</v>
      </c>
      <c r="AN28" s="122" t="s">
        <v>66</v>
      </c>
      <c r="AO28" s="122" t="s">
        <v>71</v>
      </c>
      <c r="AP28" s="122"/>
      <c r="AQ28" s="122" t="s">
        <v>136</v>
      </c>
      <c r="AR28" s="122"/>
      <c r="AS28" s="122" t="s">
        <v>138</v>
      </c>
      <c r="AT28" s="122"/>
      <c r="AU28" s="122"/>
      <c r="AV28" s="122"/>
      <c r="AW28" s="122"/>
      <c r="AX28" s="122"/>
      <c r="AY28" s="121" t="s">
        <v>42</v>
      </c>
      <c r="AZ28" s="121" t="s">
        <v>34</v>
      </c>
      <c r="BA28" s="121" t="s">
        <v>76</v>
      </c>
      <c r="BB28" s="121" t="s">
        <v>42</v>
      </c>
      <c r="BC28" s="121" t="s">
        <v>34</v>
      </c>
      <c r="BD28" s="121" t="s">
        <v>34</v>
      </c>
      <c r="BE28" s="121" t="s">
        <v>54</v>
      </c>
      <c r="BF28" s="121" t="s">
        <v>34</v>
      </c>
      <c r="BG28" s="121" t="s">
        <v>66</v>
      </c>
      <c r="BH28" s="121" t="s">
        <v>66</v>
      </c>
      <c r="BI28" s="121" t="s">
        <v>134</v>
      </c>
      <c r="BJ28" s="121" t="s">
        <v>135</v>
      </c>
      <c r="BK28" s="121" t="s">
        <v>26</v>
      </c>
      <c r="BL28" s="121" t="s">
        <v>92</v>
      </c>
      <c r="BM28" s="121" t="s">
        <v>76</v>
      </c>
      <c r="BN28" s="121" t="s">
        <v>136</v>
      </c>
      <c r="BO28" s="121"/>
      <c r="BP28" s="121"/>
      <c r="BQ28" s="121" t="s">
        <v>138</v>
      </c>
      <c r="BR28" s="121"/>
      <c r="BS28" s="121"/>
      <c r="BT28" s="121"/>
      <c r="BU28" s="121"/>
      <c r="BV28" s="121"/>
      <c r="BW28" s="122" t="s">
        <v>54</v>
      </c>
      <c r="BX28" s="122" t="s">
        <v>26</v>
      </c>
      <c r="BY28" s="122" t="s">
        <v>34</v>
      </c>
      <c r="BZ28" s="122" t="s">
        <v>58</v>
      </c>
      <c r="CA28" s="122" t="s">
        <v>42</v>
      </c>
      <c r="CB28" s="122" t="s">
        <v>42</v>
      </c>
      <c r="CC28" s="122" t="s">
        <v>76</v>
      </c>
      <c r="CD28" s="122" t="s">
        <v>76</v>
      </c>
      <c r="CE28" s="122" t="s">
        <v>92</v>
      </c>
      <c r="CF28" s="122" t="s">
        <v>89</v>
      </c>
      <c r="CG28" s="122" t="s">
        <v>134</v>
      </c>
      <c r="CH28" s="122" t="s">
        <v>135</v>
      </c>
      <c r="CI28" s="122" t="s">
        <v>34</v>
      </c>
      <c r="CJ28" s="122" t="s">
        <v>66</v>
      </c>
      <c r="CK28" s="122" t="s">
        <v>66</v>
      </c>
      <c r="CL28" s="122"/>
      <c r="CM28" s="122"/>
      <c r="CN28" s="122"/>
      <c r="CO28" s="122"/>
      <c r="CP28" s="122"/>
      <c r="CQ28" s="122"/>
      <c r="CR28" s="122"/>
      <c r="CS28" s="122"/>
      <c r="CT28" s="122"/>
      <c r="CU28" s="121" t="s">
        <v>34</v>
      </c>
      <c r="CV28" s="121" t="s">
        <v>34</v>
      </c>
      <c r="CW28" s="121" t="s">
        <v>26</v>
      </c>
      <c r="CX28" s="121" t="s">
        <v>58</v>
      </c>
      <c r="CY28" s="121" t="s">
        <v>58</v>
      </c>
      <c r="CZ28" s="121" t="s">
        <v>92</v>
      </c>
      <c r="DA28" s="121" t="s">
        <v>42</v>
      </c>
      <c r="DB28" s="121" t="s">
        <v>58</v>
      </c>
      <c r="DC28" s="121" t="s">
        <v>26</v>
      </c>
      <c r="DD28" s="121" t="s">
        <v>34</v>
      </c>
      <c r="DE28" s="121" t="s">
        <v>134</v>
      </c>
      <c r="DF28" s="121" t="s">
        <v>135</v>
      </c>
      <c r="DG28" s="121" t="s">
        <v>26</v>
      </c>
      <c r="DH28" s="121" t="s">
        <v>76</v>
      </c>
      <c r="DI28" s="121" t="s">
        <v>34</v>
      </c>
      <c r="DJ28" s="121"/>
      <c r="DK28" s="121"/>
      <c r="DL28" s="121"/>
      <c r="DM28" s="121"/>
      <c r="DN28" s="121"/>
      <c r="DO28" s="121"/>
      <c r="DP28" s="121"/>
      <c r="DQ28" s="121"/>
      <c r="DR28" s="121"/>
      <c r="DS28" s="122" t="s">
        <v>76</v>
      </c>
      <c r="DT28" s="122" t="s">
        <v>34</v>
      </c>
      <c r="DU28" s="122" t="s">
        <v>66</v>
      </c>
      <c r="DV28" s="122" t="s">
        <v>71</v>
      </c>
      <c r="DW28" s="122" t="s">
        <v>26</v>
      </c>
      <c r="DX28" s="122" t="s">
        <v>26</v>
      </c>
      <c r="DY28" s="122" t="s">
        <v>58</v>
      </c>
      <c r="DZ28" s="122" t="s">
        <v>26</v>
      </c>
      <c r="EA28" s="122" t="s">
        <v>66</v>
      </c>
      <c r="EB28" s="122" t="s">
        <v>34</v>
      </c>
      <c r="EC28" s="122" t="s">
        <v>134</v>
      </c>
      <c r="ED28" s="122" t="s">
        <v>135</v>
      </c>
      <c r="EE28" s="122" t="s">
        <v>71</v>
      </c>
      <c r="EF28" s="122" t="s">
        <v>34</v>
      </c>
      <c r="EG28" s="122" t="s">
        <v>34</v>
      </c>
      <c r="EH28" s="122"/>
      <c r="EI28" s="122"/>
      <c r="EJ28" s="122"/>
      <c r="EK28" s="122"/>
      <c r="EL28" s="122"/>
      <c r="EM28" s="122"/>
      <c r="EN28" s="122"/>
      <c r="EO28" s="122"/>
      <c r="EP28" s="122"/>
      <c r="EQ28" s="121" t="s">
        <v>117</v>
      </c>
      <c r="ER28" s="121" t="s">
        <v>117</v>
      </c>
      <c r="ES28" s="121" t="s">
        <v>117</v>
      </c>
      <c r="ET28" s="121" t="s">
        <v>117</v>
      </c>
      <c r="EU28" s="121" t="s">
        <v>117</v>
      </c>
      <c r="EV28" s="121" t="s">
        <v>117</v>
      </c>
      <c r="EW28" s="121" t="s">
        <v>117</v>
      </c>
      <c r="EX28" s="121" t="s">
        <v>117</v>
      </c>
      <c r="EY28" s="121" t="s">
        <v>117</v>
      </c>
      <c r="EZ28" s="121" t="s">
        <v>117</v>
      </c>
      <c r="FA28" s="121" t="s">
        <v>134</v>
      </c>
      <c r="FB28" s="121" t="s">
        <v>135</v>
      </c>
      <c r="FC28" s="121" t="s">
        <v>117</v>
      </c>
      <c r="FD28" s="121" t="s">
        <v>117</v>
      </c>
      <c r="FE28" s="121" t="s">
        <v>117</v>
      </c>
      <c r="FF28" s="121"/>
      <c r="FG28" s="121"/>
      <c r="FH28" s="121"/>
      <c r="FI28" s="121"/>
      <c r="FJ28" s="121"/>
      <c r="FK28" s="121"/>
      <c r="FL28" s="121"/>
      <c r="FM28" s="121"/>
      <c r="FN28" s="121"/>
      <c r="FO28" s="122" t="s">
        <v>95</v>
      </c>
      <c r="FP28" s="122" t="s">
        <v>95</v>
      </c>
      <c r="FQ28" s="122" t="s">
        <v>95</v>
      </c>
      <c r="FR28" s="122" t="s">
        <v>95</v>
      </c>
      <c r="FS28" s="122" t="s">
        <v>95</v>
      </c>
      <c r="FT28" s="122" t="s">
        <v>95</v>
      </c>
      <c r="FU28" s="122" t="s">
        <v>95</v>
      </c>
      <c r="FV28" s="122" t="s">
        <v>95</v>
      </c>
      <c r="FW28" s="122" t="s">
        <v>95</v>
      </c>
      <c r="FX28" s="122" t="s">
        <v>95</v>
      </c>
      <c r="FY28" s="122" t="s">
        <v>134</v>
      </c>
      <c r="FZ28" s="122" t="s">
        <v>135</v>
      </c>
      <c r="GA28" s="122" t="s">
        <v>95</v>
      </c>
      <c r="GB28" s="122" t="s">
        <v>95</v>
      </c>
      <c r="GC28" s="122" t="s">
        <v>95</v>
      </c>
      <c r="GD28" s="122"/>
      <c r="GE28" s="122"/>
      <c r="GF28" s="122"/>
      <c r="GG28" s="122"/>
      <c r="GH28" s="122"/>
      <c r="GI28" s="122"/>
      <c r="GJ28" s="122"/>
      <c r="GK28" s="122"/>
      <c r="GL28" s="122"/>
      <c r="GM28" s="121" t="s">
        <v>26</v>
      </c>
      <c r="GN28" s="121" t="s">
        <v>87</v>
      </c>
      <c r="GO28" s="121" t="s">
        <v>58</v>
      </c>
      <c r="GP28" s="121" t="s">
        <v>26</v>
      </c>
      <c r="GQ28" s="121" t="s">
        <v>58</v>
      </c>
      <c r="GR28" s="121" t="s">
        <v>26</v>
      </c>
      <c r="GS28" s="121" t="s">
        <v>92</v>
      </c>
      <c r="GT28" s="121" t="s">
        <v>34</v>
      </c>
      <c r="GU28" s="121" t="s">
        <v>26</v>
      </c>
      <c r="GV28" s="121" t="s">
        <v>89</v>
      </c>
      <c r="GW28" s="121" t="s">
        <v>134</v>
      </c>
      <c r="GX28" s="121" t="s">
        <v>135</v>
      </c>
      <c r="GY28" s="121" t="s">
        <v>34</v>
      </c>
      <c r="GZ28" s="121" t="s">
        <v>66</v>
      </c>
      <c r="HA28" s="121" t="s">
        <v>71</v>
      </c>
      <c r="HB28" s="121"/>
      <c r="HC28" s="121"/>
      <c r="HD28" s="121"/>
      <c r="HE28" s="121"/>
      <c r="HF28" s="121"/>
      <c r="HG28" s="121"/>
      <c r="HH28" s="121"/>
      <c r="HI28" s="121"/>
      <c r="HJ28" s="121"/>
      <c r="HK28" s="122" t="s">
        <v>42</v>
      </c>
      <c r="HL28" s="122" t="s">
        <v>34</v>
      </c>
      <c r="HM28" s="122" t="s">
        <v>76</v>
      </c>
      <c r="HN28" s="122" t="s">
        <v>42</v>
      </c>
      <c r="HO28" s="122" t="s">
        <v>34</v>
      </c>
      <c r="HP28" s="122" t="s">
        <v>34</v>
      </c>
      <c r="HQ28" s="122" t="s">
        <v>54</v>
      </c>
      <c r="HR28" s="122" t="s">
        <v>34</v>
      </c>
      <c r="HS28" s="122" t="s">
        <v>66</v>
      </c>
      <c r="HT28" s="122" t="s">
        <v>66</v>
      </c>
      <c r="HU28" s="122" t="s">
        <v>134</v>
      </c>
      <c r="HV28" s="122" t="s">
        <v>135</v>
      </c>
      <c r="HW28" s="122" t="s">
        <v>26</v>
      </c>
      <c r="HX28" s="122" t="s">
        <v>92</v>
      </c>
      <c r="HY28" s="122" t="s">
        <v>76</v>
      </c>
      <c r="HZ28" s="122" t="s">
        <v>136</v>
      </c>
      <c r="IA28" s="122"/>
      <c r="IB28" s="122" t="s">
        <v>138</v>
      </c>
      <c r="IC28" s="122"/>
      <c r="ID28" s="122"/>
      <c r="IE28" s="122"/>
      <c r="IF28" s="122"/>
      <c r="IG28" s="122"/>
      <c r="IH28" s="122"/>
      <c r="II28" s="121" t="s">
        <v>54</v>
      </c>
      <c r="IJ28" s="121" t="s">
        <v>26</v>
      </c>
      <c r="IK28" s="121" t="s">
        <v>34</v>
      </c>
      <c r="IL28" s="121" t="s">
        <v>58</v>
      </c>
      <c r="IM28" s="121" t="s">
        <v>42</v>
      </c>
      <c r="IN28" s="121" t="s">
        <v>42</v>
      </c>
      <c r="IO28" s="121" t="s">
        <v>76</v>
      </c>
      <c r="IP28" s="121" t="s">
        <v>76</v>
      </c>
      <c r="IQ28" s="121" t="s">
        <v>92</v>
      </c>
      <c r="IR28" s="121" t="s">
        <v>89</v>
      </c>
      <c r="IS28" s="121" t="s">
        <v>134</v>
      </c>
      <c r="IT28" s="121" t="s">
        <v>135</v>
      </c>
      <c r="IU28" s="121" t="s">
        <v>34</v>
      </c>
      <c r="IV28" s="121" t="s">
        <v>66</v>
      </c>
      <c r="IW28" s="121" t="s">
        <v>66</v>
      </c>
      <c r="IX28" s="121"/>
      <c r="IY28" s="121"/>
      <c r="IZ28" s="121"/>
      <c r="JA28" s="121"/>
      <c r="JB28" s="121"/>
      <c r="JC28" s="121"/>
      <c r="JD28" s="121"/>
      <c r="JE28" s="121"/>
      <c r="JF28" s="121"/>
      <c r="JG28" s="122" t="s">
        <v>34</v>
      </c>
      <c r="JH28" s="122" t="s">
        <v>34</v>
      </c>
      <c r="JI28" s="122" t="s">
        <v>26</v>
      </c>
      <c r="JJ28" s="122" t="s">
        <v>58</v>
      </c>
      <c r="JK28" s="122" t="s">
        <v>58</v>
      </c>
      <c r="JL28" s="122" t="s">
        <v>92</v>
      </c>
      <c r="JM28" s="122" t="s">
        <v>42</v>
      </c>
      <c r="JN28" s="122" t="s">
        <v>58</v>
      </c>
      <c r="JO28" s="122" t="s">
        <v>26</v>
      </c>
      <c r="JP28" s="122" t="s">
        <v>34</v>
      </c>
      <c r="JQ28" s="122" t="s">
        <v>134</v>
      </c>
      <c r="JR28" s="122" t="s">
        <v>135</v>
      </c>
      <c r="JS28" s="122" t="s">
        <v>26</v>
      </c>
      <c r="JT28" s="122" t="s">
        <v>76</v>
      </c>
      <c r="JU28" s="122" t="s">
        <v>34</v>
      </c>
      <c r="JV28" s="122"/>
      <c r="JW28" s="122"/>
      <c r="JX28" s="122"/>
      <c r="JY28" s="122"/>
      <c r="JZ28" s="122"/>
      <c r="KA28" s="122"/>
      <c r="KB28" s="122"/>
      <c r="KC28" s="122"/>
      <c r="KD28" s="122"/>
    </row>
    <row r="29" spans="1:290" s="117" customFormat="1" ht="18" customHeight="1" x14ac:dyDescent="0.4">
      <c r="A29" s="145"/>
      <c r="B29" s="143"/>
      <c r="C29" s="125">
        <f>IFERROR(VLOOKUP(C28,教师安排!$A:$Y,C$2+1,FALSE),"")</f>
        <v>0</v>
      </c>
      <c r="D29" s="125">
        <f>IFERROR(VLOOKUP(D28,教师安排!$A:$Y,D$2+1,FALSE),"")</f>
        <v>0</v>
      </c>
      <c r="E29" s="125">
        <f>IFERROR(VLOOKUP(E28,教师安排!$A:$Y,E$2+1,FALSE),"")</f>
        <v>0</v>
      </c>
      <c r="F29" s="125">
        <f>IFERROR(VLOOKUP(F28,教师安排!$A:$Y,F$2+1,FALSE),"")</f>
        <v>0</v>
      </c>
      <c r="G29" s="125">
        <f>IFERROR(VLOOKUP(G28,教师安排!$A:$Y,G$2+1,FALSE),"")</f>
        <v>0</v>
      </c>
      <c r="H29" s="125">
        <f>IFERROR(VLOOKUP(H28,教师安排!$A:$Y,H$2+1,FALSE),"")</f>
        <v>0</v>
      </c>
      <c r="I29" s="125">
        <f>IFERROR(VLOOKUP(I28,教师安排!$A:$Y,I$2+1,FALSE),"")</f>
        <v>0</v>
      </c>
      <c r="J29" s="125">
        <f>IFERROR(VLOOKUP(J28,教师安排!$A:$Y,J$2+1,FALSE),"")</f>
        <v>0</v>
      </c>
      <c r="K29" s="125">
        <f>IFERROR(VLOOKUP(K28,教师安排!$A:$Y,K$2+1,FALSE),"")</f>
        <v>0</v>
      </c>
      <c r="L29" s="125">
        <f>IFERROR(VLOOKUP(L28,教师安排!$A:$Y,L$2+1,FALSE),"")</f>
        <v>0</v>
      </c>
      <c r="M29" s="125">
        <f>IFERROR(VLOOKUP(M28,教师安排!$A:$Y,M$2+1,FALSE),"")</f>
        <v>0</v>
      </c>
      <c r="N29" s="125">
        <f>IFERROR(VLOOKUP(N28,教师安排!$A:$Y,N$2+1,FALSE),"")</f>
        <v>0</v>
      </c>
      <c r="O29" s="125">
        <f>IFERROR(VLOOKUP(O28,教师安排!$A:$Y,O$2+1,FALSE),"")</f>
        <v>0</v>
      </c>
      <c r="P29" s="125">
        <f>IFERROR(VLOOKUP(P28,教师安排!$A:$Y,P$2+1,FALSE),"")</f>
        <v>0</v>
      </c>
      <c r="Q29" s="125">
        <f>IFERROR(VLOOKUP(Q28,教师安排!$A:$Y,Q$2+1,FALSE),"")</f>
        <v>0</v>
      </c>
      <c r="R29" s="125" t="str">
        <f>IFERROR(VLOOKUP(R28,教师安排!$A:$Y,R$2+1,FALSE),"")</f>
        <v/>
      </c>
      <c r="S29" s="125" t="str">
        <f>IFERROR(VLOOKUP(S28,教师安排!$A:$Y,S$2+1,FALSE),"")</f>
        <v/>
      </c>
      <c r="T29" s="125" t="str">
        <f>IFERROR(VLOOKUP(T28,教师安排!$A:$Y,T$2+1,FALSE),"")</f>
        <v/>
      </c>
      <c r="U29" s="125" t="str">
        <f>IFERROR(VLOOKUP(U28,教师安排!$A:$Y,U$2+1,FALSE),"")</f>
        <v/>
      </c>
      <c r="V29" s="125"/>
      <c r="W29" s="125" t="str">
        <f>IFERROR(VLOOKUP(W28,教师安排!$A:$Y,W$2+1,FALSE),"")</f>
        <v/>
      </c>
      <c r="X29" s="125" t="str">
        <f>IFERROR(VLOOKUP(X28,教师安排!$A:$Y,X$2+1,FALSE),"")</f>
        <v/>
      </c>
      <c r="Y29" s="125" t="str">
        <f>IFERROR(VLOOKUP(Y28,教师安排!$A:$Y,Y$2+1,FALSE),"")</f>
        <v/>
      </c>
      <c r="Z29" s="125" t="str">
        <f>IFERROR(VLOOKUP(Z28,教师安排!$A:$Y,Z$2+1,FALSE),"")</f>
        <v/>
      </c>
      <c r="AA29" s="126" t="str">
        <f>IFERROR(VLOOKUP(AA28,教师安排!$A:$Y,AA$2+1,FALSE),"")</f>
        <v>杨彬</v>
      </c>
      <c r="AB29" s="126" t="str">
        <f>IFERROR(VLOOKUP(AB28,教师安排!$A:$Y,AB$2+1,FALSE),"")</f>
        <v>岳/厉</v>
      </c>
      <c r="AC29" s="126" t="str">
        <f>IFERROR(VLOOKUP(AC28,教师安排!$A:$Y,AC$2+1,FALSE),"")</f>
        <v>岳/厉</v>
      </c>
      <c r="AD29" s="126" t="str">
        <f>IFERROR(VLOOKUP(AD28,教师安排!$A:$Y,AD$2+1,FALSE),"")</f>
        <v>史振塞</v>
      </c>
      <c r="AE29" s="126" t="str">
        <f>IFERROR(VLOOKUP(AE28,教师安排!$A:$Y,AE$2+1,FALSE),"")</f>
        <v>李振铎</v>
      </c>
      <c r="AF29" s="126" t="str">
        <f>IFERROR(VLOOKUP(AF28,教师安排!$A:$Y,AF$2+1,FALSE),"")</f>
        <v>姜媛媛</v>
      </c>
      <c r="AG29" s="126" t="str">
        <f>IFERROR(VLOOKUP(AG28,教师安排!$A:$Y,AG$2+1,FALSE),"")</f>
        <v>孙显阳</v>
      </c>
      <c r="AH29" s="126" t="str">
        <f>IFERROR(VLOOKUP(AH28,教师安排!$A:$Y,AH$2+1,FALSE),"")</f>
        <v>宋开元</v>
      </c>
      <c r="AI29" s="126" t="str">
        <f>IFERROR(VLOOKUP(AI28,教师安排!$A:$Y,AI$2+1,FALSE),"")</f>
        <v>张冰雪</v>
      </c>
      <c r="AJ29" s="126" t="str">
        <f>IFERROR(VLOOKUP(AJ28,教师安排!$A:$Y,AJ$2+1,FALSE),"")</f>
        <v>张喆</v>
      </c>
      <c r="AK29" s="126">
        <f>IFERROR(VLOOKUP(AK28,教师安排!$A:$Y,AK$2+1,FALSE),"")</f>
        <v>0</v>
      </c>
      <c r="AL29" s="126">
        <f>IFERROR(VLOOKUP(AL28,教师安排!$A:$Y,AL$2+1,FALSE),"")</f>
        <v>0</v>
      </c>
      <c r="AM29" s="126" t="str">
        <f>IFERROR(VLOOKUP(AM28,教师安排!$A:$Y,AM$2+1,FALSE),"")</f>
        <v>范林林</v>
      </c>
      <c r="AN29" s="126" t="str">
        <f>IFERROR(VLOOKUP(AN28,教师安排!$A:$Y,AN$2+1,FALSE),"")</f>
        <v>董艳华</v>
      </c>
      <c r="AO29" s="126" t="str">
        <f>IFERROR(VLOOKUP(AO28,教师安排!$A:$Y,AO$2+1,FALSE),"")</f>
        <v>张鑫</v>
      </c>
      <c r="AP29" s="126" t="str">
        <f>IFERROR(VLOOKUP(AP28,教师安排!$A:$Y,AP$2+1,FALSE),"")</f>
        <v/>
      </c>
      <c r="AQ29" s="126" t="str">
        <f>IFERROR(VLOOKUP(AQ28,教师安排!$A:$Y,AQ$2+1,FALSE),"")</f>
        <v>岳海霞</v>
      </c>
      <c r="AR29" s="126" t="str">
        <f>IFERROR(VLOOKUP(AR28,教师安排!$A:$Y,AR$2+1,FALSE),"")</f>
        <v/>
      </c>
      <c r="AS29" s="126" t="str">
        <f>IFERROR(VLOOKUP(AS28,教师安排!$A:$Y,AS$2+1,FALSE),"")</f>
        <v>厉彦龙</v>
      </c>
      <c r="AT29" s="126"/>
      <c r="AU29" s="126" t="str">
        <f>IFERROR(VLOOKUP(AU28,教师安排!$A:$Y,AU$2+1,FALSE),"")</f>
        <v/>
      </c>
      <c r="AV29" s="126" t="str">
        <f>IFERROR(VLOOKUP(AV28,教师安排!$A:$Y,AV$2+1,FALSE),"")</f>
        <v/>
      </c>
      <c r="AW29" s="126" t="str">
        <f>IFERROR(VLOOKUP(AW28,教师安排!$A:$Y,AW$2+1,FALSE),"")</f>
        <v/>
      </c>
      <c r="AX29" s="126" t="str">
        <f>IFERROR(VLOOKUP(AX28,教师安排!$A:$Y,AX$2+1,FALSE),"")</f>
        <v/>
      </c>
      <c r="AY29" s="125" t="str">
        <f>IFERROR(VLOOKUP(AY28,教师安排!$A:$Y,AY$2+1,FALSE),"")</f>
        <v>岳/厉</v>
      </c>
      <c r="AZ29" s="125" t="str">
        <f>IFERROR(VLOOKUP(AZ28,教师安排!$A:$Y,AZ$2+1,FALSE),"")</f>
        <v>姚来朋</v>
      </c>
      <c r="BA29" s="125" t="str">
        <f>IFERROR(VLOOKUP(BA28,教师安排!$A:$Y,BA$2+1,FALSE),"")</f>
        <v>李会玲</v>
      </c>
      <c r="BB29" s="125" t="str">
        <f>IFERROR(VLOOKUP(BB28,教师安排!$A:$Y,BB$2+1,FALSE),"")</f>
        <v>岳/厉</v>
      </c>
      <c r="BC29" s="125" t="str">
        <f>IFERROR(VLOOKUP(BC28,教师安排!$A:$Y,BC$2+1,FALSE),"")</f>
        <v>赵雪敏</v>
      </c>
      <c r="BD29" s="125" t="str">
        <f>IFERROR(VLOOKUP(BD28,教师安排!$A:$Y,BD$2+1,FALSE),"")</f>
        <v>王露</v>
      </c>
      <c r="BE29" s="125" t="str">
        <f>IFERROR(VLOOKUP(BE28,教师安排!$A:$Y,BE$2+1,FALSE),"")</f>
        <v>孙存义</v>
      </c>
      <c r="BF29" s="125" t="str">
        <f>IFERROR(VLOOKUP(BF28,教师安排!$A:$Y,BF$2+1,FALSE),"")</f>
        <v>高文凤</v>
      </c>
      <c r="BG29" s="125" t="str">
        <f>IFERROR(VLOOKUP(BG28,教师安排!$A:$Y,BG$2+1,FALSE),"")</f>
        <v>田凤美</v>
      </c>
      <c r="BH29" s="125" t="str">
        <f>IFERROR(VLOOKUP(BH28,教师安排!$A:$Y,BH$2+1,FALSE),"")</f>
        <v>董艳华</v>
      </c>
      <c r="BI29" s="125">
        <f>IFERROR(VLOOKUP(BI28,教师安排!$A:$Y,BI$2+1,FALSE),"")</f>
        <v>0</v>
      </c>
      <c r="BJ29" s="125">
        <f>IFERROR(VLOOKUP(BJ28,教师安排!$A:$Y,BJ$2+1,FALSE),"")</f>
        <v>0</v>
      </c>
      <c r="BK29" s="125" t="str">
        <f>IFERROR(VLOOKUP(BK28,教师安排!$A:$Y,BK$2+1,FALSE),"")</f>
        <v>王菲</v>
      </c>
      <c r="BL29" s="125" t="str">
        <f>IFERROR(VLOOKUP(BL28,教师安排!$A:$Y,BL$2+1,FALSE),"")</f>
        <v>孙显阳</v>
      </c>
      <c r="BM29" s="125" t="str">
        <f>IFERROR(VLOOKUP(BM28,教师安排!$A:$Y,BM$2+1,FALSE),"")</f>
        <v>孙秋杰</v>
      </c>
      <c r="BN29" s="125" t="str">
        <f>IFERROR(VLOOKUP(BN28,教师安排!$A:$Y,BN$2+1,FALSE),"")</f>
        <v>岳海霞</v>
      </c>
      <c r="BO29" s="125" t="str">
        <f>IFERROR(VLOOKUP(BO28,教师安排!$A:$Y,BO$2+1,FALSE),"")</f>
        <v/>
      </c>
      <c r="BP29" s="125" t="str">
        <f>IFERROR(VLOOKUP(BP28,教师安排!$A:$Y,BP$2+1,FALSE),"")</f>
        <v/>
      </c>
      <c r="BQ29" s="125" t="str">
        <f>IFERROR(VLOOKUP(BQ28,教师安排!$A:$Y,BQ$2+1,FALSE),"")</f>
        <v>厉彦龙</v>
      </c>
      <c r="BR29" s="125"/>
      <c r="BS29" s="125" t="str">
        <f>IFERROR(VLOOKUP(BS28,教师安排!$A:$Y,BS$2+1,FALSE),"")</f>
        <v/>
      </c>
      <c r="BT29" s="125" t="str">
        <f>IFERROR(VLOOKUP(BT28,教师安排!$A:$Y,BT$2+1,FALSE),"")</f>
        <v/>
      </c>
      <c r="BU29" s="125" t="str">
        <f>IFERROR(VLOOKUP(BU28,教师安排!$A:$Y,BU$2+1,FALSE),"")</f>
        <v/>
      </c>
      <c r="BV29" s="125" t="str">
        <f>IFERROR(VLOOKUP(BV28,教师安排!$A:$Y,BV$2+1,FALSE),"")</f>
        <v/>
      </c>
      <c r="BW29" s="126" t="str">
        <f>IFERROR(VLOOKUP(BW28,教师安排!$A:$Y,BW$2+1,FALSE),"")</f>
        <v>康波</v>
      </c>
      <c r="BX29" s="126" t="str">
        <f>IFERROR(VLOOKUP(BX28,教师安排!$A:$Y,BX$2+1,FALSE),"")</f>
        <v>史振塞</v>
      </c>
      <c r="BY29" s="126" t="str">
        <f>IFERROR(VLOOKUP(BY28,教师安排!$A:$Y,BY$2+1,FALSE),"")</f>
        <v>姚来朋</v>
      </c>
      <c r="BZ29" s="126" t="str">
        <f>IFERROR(VLOOKUP(BZ28,教师安排!$A:$Y,BZ$2+1,FALSE),"")</f>
        <v>马崇庆</v>
      </c>
      <c r="CA29" s="126" t="str">
        <f>IFERROR(VLOOKUP(CA28,教师安排!$A:$Y,CA$2+1,FALSE),"")</f>
        <v>王灼</v>
      </c>
      <c r="CB29" s="126" t="str">
        <f>IFERROR(VLOOKUP(CB28,教师安排!$A:$Y,CB$2+1,FALSE),"")</f>
        <v>翟淑玮</v>
      </c>
      <c r="CC29" s="126" t="str">
        <f>IFERROR(VLOOKUP(CC28,教师安排!$A:$Y,CC$2+1,FALSE),"")</f>
        <v>孙锦锦</v>
      </c>
      <c r="CD29" s="126" t="str">
        <f>IFERROR(VLOOKUP(CD28,教师安排!$A:$Y,CD$2+1,FALSE),"")</f>
        <v>孙秋杰</v>
      </c>
      <c r="CE29" s="126" t="str">
        <f>IFERROR(VLOOKUP(CE28,教师安排!$A:$Y,CE$2+1,FALSE),"")</f>
        <v>孙显阳</v>
      </c>
      <c r="CF29" s="126" t="str">
        <f>IFERROR(VLOOKUP(CF28,教师安排!$A:$Y,CF$2+1,FALSE),"")</f>
        <v>张喆</v>
      </c>
      <c r="CG29" s="126">
        <f>IFERROR(VLOOKUP(CG28,教师安排!$A:$Y,CG$2+1,FALSE),"")</f>
        <v>0</v>
      </c>
      <c r="CH29" s="126">
        <f>IFERROR(VLOOKUP(CH28,教师安排!$A:$Y,CH$2+1,FALSE),"")</f>
        <v>0</v>
      </c>
      <c r="CI29" s="126" t="str">
        <f>IFERROR(VLOOKUP(CI28,教师安排!$A:$Y,CI$2+1,FALSE),"")</f>
        <v>范林林</v>
      </c>
      <c r="CJ29" s="126" t="str">
        <f>IFERROR(VLOOKUP(CJ28,教师安排!$A:$Y,CJ$2+1,FALSE),"")</f>
        <v>董艳华</v>
      </c>
      <c r="CK29" s="126" t="str">
        <f>IFERROR(VLOOKUP(CK28,教师安排!$A:$Y,CK$2+1,FALSE),"")</f>
        <v>夏文杰</v>
      </c>
      <c r="CL29" s="126" t="str">
        <f>IFERROR(VLOOKUP(CL28,教师安排!$A:$Y,CL$2+1,FALSE),"")</f>
        <v/>
      </c>
      <c r="CM29" s="126" t="str">
        <f>IFERROR(VLOOKUP(CM28,教师安排!$A:$Y,CM$2+1,FALSE),"")</f>
        <v/>
      </c>
      <c r="CN29" s="126" t="str">
        <f>IFERROR(VLOOKUP(CN28,教师安排!$A:$Y,CN$2+1,FALSE),"")</f>
        <v/>
      </c>
      <c r="CO29" s="126" t="str">
        <f>IFERROR(VLOOKUP(CO28,教师安排!$A:$Y,CO$2+1,FALSE),"")</f>
        <v/>
      </c>
      <c r="CP29" s="126" t="str">
        <f>IFERROR(VLOOKUP(CP28,教师安排!$A:$Y,CP$2+1,FALSE),"")</f>
        <v/>
      </c>
      <c r="CQ29" s="126"/>
      <c r="CR29" s="126" t="str">
        <f>IFERROR(VLOOKUP(CR28,教师安排!$A:$Y,CR$2+1,FALSE),"")</f>
        <v/>
      </c>
      <c r="CS29" s="126" t="str">
        <f>IFERROR(VLOOKUP(CS28,教师安排!$A:$Y,CS$2+1,FALSE),"")</f>
        <v/>
      </c>
      <c r="CT29" s="126" t="str">
        <f>IFERROR(VLOOKUP(CT28,教师安排!$A:$Y,CT$2+1,FALSE),"")</f>
        <v/>
      </c>
      <c r="CU29" s="125" t="str">
        <f>IFERROR(VLOOKUP(CU28,教师安排!$A:$Y,CU$2+1,FALSE),"")</f>
        <v>侯淑贤</v>
      </c>
      <c r="CV29" s="125" t="str">
        <f>IFERROR(VLOOKUP(CV28,教师安排!$A:$Y,CV$2+1,FALSE),"")</f>
        <v>姚来朋</v>
      </c>
      <c r="CW29" s="125" t="str">
        <f>IFERROR(VLOOKUP(CW28,教师安排!$A:$Y,CW$2+1,FALSE),"")</f>
        <v>杨彬</v>
      </c>
      <c r="CX29" s="125" t="str">
        <f>IFERROR(VLOOKUP(CX28,教师安排!$A:$Y,CX$2+1,FALSE),"")</f>
        <v>马崇庆</v>
      </c>
      <c r="CY29" s="125" t="str">
        <f>IFERROR(VLOOKUP(CY28,教师安排!$A:$Y,CY$2+1,FALSE),"")</f>
        <v>李振铎</v>
      </c>
      <c r="CZ29" s="125" t="str">
        <f>IFERROR(VLOOKUP(CZ28,教师安排!$A:$Y,CZ$2+1,FALSE),"")</f>
        <v>孙显阳</v>
      </c>
      <c r="DA29" s="125" t="str">
        <f>IFERROR(VLOOKUP(DA28,教师安排!$A:$Y,DA$2+1,FALSE),"")</f>
        <v>韩丽梅</v>
      </c>
      <c r="DB29" s="125" t="str">
        <f>IFERROR(VLOOKUP(DB28,教师安排!$A:$Y,DB$2+1,FALSE),"")</f>
        <v>宋开元</v>
      </c>
      <c r="DC29" s="125" t="str">
        <f>IFERROR(VLOOKUP(DC28,教师安排!$A:$Y,DC$2+1,FALSE),"")</f>
        <v>张冰雪</v>
      </c>
      <c r="DD29" s="125" t="str">
        <f>IFERROR(VLOOKUP(DD28,教师安排!$A:$Y,DD$2+1,FALSE),"")</f>
        <v>孙娜</v>
      </c>
      <c r="DE29" s="125">
        <f>IFERROR(VLOOKUP(DE28,教师安排!$A:$Y,DE$2+1,FALSE),"")</f>
        <v>0</v>
      </c>
      <c r="DF29" s="125">
        <f>IFERROR(VLOOKUP(DF28,教师安排!$A:$Y,DF$2+1,FALSE),"")</f>
        <v>0</v>
      </c>
      <c r="DG29" s="125" t="str">
        <f>IFERROR(VLOOKUP(DG28,教师安排!$A:$Y,DG$2+1,FALSE),"")</f>
        <v>王菲</v>
      </c>
      <c r="DH29" s="125" t="str">
        <f>IFERROR(VLOOKUP(DH28,教师安排!$A:$Y,DH$2+1,FALSE),"")</f>
        <v>孙锦锦</v>
      </c>
      <c r="DI29" s="125" t="str">
        <f>IFERROR(VLOOKUP(DI28,教师安排!$A:$Y,DI$2+1,FALSE),"")</f>
        <v>高文凤</v>
      </c>
      <c r="DJ29" s="125" t="str">
        <f>IFERROR(VLOOKUP(DJ28,教师安排!$A:$Y,DJ$2+1,FALSE),"")</f>
        <v/>
      </c>
      <c r="DK29" s="125" t="str">
        <f>IFERROR(VLOOKUP(DK28,教师安排!$A:$Y,DK$2+1,FALSE),"")</f>
        <v/>
      </c>
      <c r="DL29" s="125" t="str">
        <f>IFERROR(VLOOKUP(DL28,教师安排!$A:$Y,DL$2+1,FALSE),"")</f>
        <v/>
      </c>
      <c r="DM29" s="125" t="str">
        <f>IFERROR(VLOOKUP(DM28,教师安排!$A:$Y,DM$2+1,FALSE),"")</f>
        <v/>
      </c>
      <c r="DN29" s="125"/>
      <c r="DO29" s="125" t="str">
        <f>IFERROR(VLOOKUP(DO28,教师安排!$A:$Y,DO$2+1,FALSE),"")</f>
        <v/>
      </c>
      <c r="DP29" s="125" t="str">
        <f>IFERROR(VLOOKUP(DP28,教师安排!$A:$Y,DP$2+1,FALSE),"")</f>
        <v/>
      </c>
      <c r="DQ29" s="125" t="str">
        <f>IFERROR(VLOOKUP(DQ28,教师安排!$A:$Y,DQ$2+1,FALSE),"")</f>
        <v/>
      </c>
      <c r="DR29" s="125" t="str">
        <f>IFERROR(VLOOKUP(DR28,教师安排!$A:$Y,DR$2+1,FALSE),"")</f>
        <v/>
      </c>
      <c r="DS29" s="124" t="str">
        <f>IFERROR(VLOOKUP(DS28,教师安排!$A:$Y,DS$2+1,FALSE),"")</f>
        <v>李会玲</v>
      </c>
      <c r="DT29" s="124" t="str">
        <f>IFERROR(VLOOKUP(DT28,教师安排!$A:$Y,DT$2+1,FALSE),"")</f>
        <v>姚来朋</v>
      </c>
      <c r="DU29" s="124" t="str">
        <f>IFERROR(VLOOKUP(DU28,教师安排!$A:$Y,DU$2+1,FALSE),"")</f>
        <v>李雯</v>
      </c>
      <c r="DV29" s="124" t="str">
        <f>IFERROR(VLOOKUP(DV28,教师安排!$A:$Y,DV$2+1,FALSE),"")</f>
        <v>刘珊珊</v>
      </c>
      <c r="DW29" s="124" t="str">
        <f>IFERROR(VLOOKUP(DW28,教师安排!$A:$Y,DW$2+1,FALSE),"")</f>
        <v>张冰雪</v>
      </c>
      <c r="DX29" s="124" t="str">
        <f>IFERROR(VLOOKUP(DX28,教师安排!$A:$Y,DX$2+1,FALSE),"")</f>
        <v>姜媛媛</v>
      </c>
      <c r="DY29" s="124" t="str">
        <f>IFERROR(VLOOKUP(DY28,教师安排!$A:$Y,DY$2+1,FALSE),"")</f>
        <v>马崇庆</v>
      </c>
      <c r="DZ29" s="124" t="str">
        <f>IFERROR(VLOOKUP(DZ28,教师安排!$A:$Y,DZ$2+1,FALSE),"")</f>
        <v>路睿</v>
      </c>
      <c r="EA29" s="124" t="str">
        <f>IFERROR(VLOOKUP(EA28,教师安排!$A:$Y,EA$2+1,FALSE),"")</f>
        <v>田凤美</v>
      </c>
      <c r="EB29" s="124" t="str">
        <f>IFERROR(VLOOKUP(EB28,教师安排!$A:$Y,EB$2+1,FALSE),"")</f>
        <v>孙娜</v>
      </c>
      <c r="EC29" s="124">
        <f>IFERROR(VLOOKUP(EC28,教师安排!$A:$Y,EC$2+1,FALSE),"")</f>
        <v>0</v>
      </c>
      <c r="ED29" s="124">
        <f>IFERROR(VLOOKUP(ED28,教师安排!$A:$Y,ED$2+1,FALSE),"")</f>
        <v>0</v>
      </c>
      <c r="EE29" s="124" t="str">
        <f>IFERROR(VLOOKUP(EE28,教师安排!$A:$Y,EE$2+1,FALSE),"")</f>
        <v>李浩然</v>
      </c>
      <c r="EF29" s="124" t="str">
        <f>IFERROR(VLOOKUP(EF28,教师安排!$A:$Y,EF$2+1,FALSE),"")</f>
        <v>王露</v>
      </c>
      <c r="EG29" s="124" t="str">
        <f>IFERROR(VLOOKUP(EG28,教师安排!$A:$Y,EG$2+1,FALSE),"")</f>
        <v>高文凤</v>
      </c>
      <c r="EH29" s="124" t="str">
        <f>IFERROR(VLOOKUP(EH28,教师安排!$A:$Y,EH$2+1,FALSE),"")</f>
        <v/>
      </c>
      <c r="EI29" s="124" t="str">
        <f>IFERROR(VLOOKUP(EI28,教师安排!$A:$Y,EI$2+1,FALSE),"")</f>
        <v/>
      </c>
      <c r="EJ29" s="124" t="str">
        <f>IFERROR(VLOOKUP(EJ28,教师安排!$A:$Y,EJ$2+1,FALSE),"")</f>
        <v/>
      </c>
      <c r="EK29" s="124" t="str">
        <f>IFERROR(VLOOKUP(EK28,教师安排!$A:$Y,EK$2+1,FALSE),"")</f>
        <v/>
      </c>
      <c r="EL29" s="124"/>
      <c r="EM29" s="124" t="str">
        <f>IFERROR(VLOOKUP(EM28,教师安排!$A:$Y,EM$2+1,FALSE),"")</f>
        <v/>
      </c>
      <c r="EN29" s="124" t="str">
        <f>IFERROR(VLOOKUP(EN28,教师安排!$A:$Y,EN$2+1,FALSE),"")</f>
        <v/>
      </c>
      <c r="EO29" s="124" t="str">
        <f>IFERROR(VLOOKUP(EO28,教师安排!$A:$Y,EO$2+1,FALSE),"")</f>
        <v/>
      </c>
      <c r="EP29" s="124" t="str">
        <f>IFERROR(VLOOKUP(EP28,教师安排!$A:$Y,EP$2+1,FALSE),"")</f>
        <v/>
      </c>
      <c r="EQ29" s="123">
        <f>IFERROR(VLOOKUP(EQ28,教师安排!$A:$Y,EQ$2+1,FALSE),"")</f>
        <v>0</v>
      </c>
      <c r="ER29" s="123">
        <f>IFERROR(VLOOKUP(ER28,教师安排!$A:$Y,ER$2+1,FALSE),"")</f>
        <v>0</v>
      </c>
      <c r="ES29" s="123">
        <f>IFERROR(VLOOKUP(ES28,教师安排!$A:$Y,ES$2+1,FALSE),"")</f>
        <v>0</v>
      </c>
      <c r="ET29" s="123">
        <f>IFERROR(VLOOKUP(ET28,教师安排!$A:$Y,ET$2+1,FALSE),"")</f>
        <v>0</v>
      </c>
      <c r="EU29" s="123">
        <f>IFERROR(VLOOKUP(EU28,教师安排!$A:$Y,EU$2+1,FALSE),"")</f>
        <v>0</v>
      </c>
      <c r="EV29" s="123">
        <f>IFERROR(VLOOKUP(EV28,教师安排!$A:$Y,EV$2+1,FALSE),"")</f>
        <v>0</v>
      </c>
      <c r="EW29" s="123">
        <f>IFERROR(VLOOKUP(EW28,教师安排!$A:$Y,EW$2+1,FALSE),"")</f>
        <v>0</v>
      </c>
      <c r="EX29" s="123">
        <f>IFERROR(VLOOKUP(EX28,教师安排!$A:$Y,EX$2+1,FALSE),"")</f>
        <v>0</v>
      </c>
      <c r="EY29" s="123">
        <f>IFERROR(VLOOKUP(EY28,教师安排!$A:$Y,EY$2+1,FALSE),"")</f>
        <v>0</v>
      </c>
      <c r="EZ29" s="123">
        <f>IFERROR(VLOOKUP(EZ28,教师安排!$A:$Y,EZ$2+1,FALSE),"")</f>
        <v>0</v>
      </c>
      <c r="FA29" s="123">
        <f>IFERROR(VLOOKUP(FA28,教师安排!$A:$Y,FA$2+1,FALSE),"")</f>
        <v>0</v>
      </c>
      <c r="FB29" s="123">
        <f>IFERROR(VLOOKUP(FB28,教师安排!$A:$Y,FB$2+1,FALSE),"")</f>
        <v>0</v>
      </c>
      <c r="FC29" s="123">
        <f>IFERROR(VLOOKUP(FC28,教师安排!$A:$Y,FC$2+1,FALSE),"")</f>
        <v>0</v>
      </c>
      <c r="FD29" s="123">
        <f>IFERROR(VLOOKUP(FD28,教师安排!$A:$Y,FD$2+1,FALSE),"")</f>
        <v>0</v>
      </c>
      <c r="FE29" s="123">
        <f>IFERROR(VLOOKUP(FE28,教师安排!$A:$Y,FE$2+1,FALSE),"")</f>
        <v>0</v>
      </c>
      <c r="FF29" s="123" t="str">
        <f>IFERROR(VLOOKUP(FF28,教师安排!$A:$Y,FF$2+1,FALSE),"")</f>
        <v/>
      </c>
      <c r="FG29" s="123" t="str">
        <f>IFERROR(VLOOKUP(FG28,教师安排!$A:$Y,FG$2+1,FALSE),"")</f>
        <v/>
      </c>
      <c r="FH29" s="123" t="str">
        <f>IFERROR(VLOOKUP(FH28,教师安排!$A:$Y,FH$2+1,FALSE),"")</f>
        <v/>
      </c>
      <c r="FI29" s="123" t="str">
        <f>IFERROR(VLOOKUP(FI28,教师安排!$A:$Y,FI$2+1,FALSE),"")</f>
        <v/>
      </c>
      <c r="FJ29" s="123"/>
      <c r="FK29" s="123" t="str">
        <f>IFERROR(VLOOKUP(FK28,教师安排!$A:$Y,FK$2+1,FALSE),"")</f>
        <v/>
      </c>
      <c r="FL29" s="123" t="str">
        <f>IFERROR(VLOOKUP(FL28,教师安排!$A:$Y,FL$2+1,FALSE),"")</f>
        <v/>
      </c>
      <c r="FM29" s="123" t="str">
        <f>IFERROR(VLOOKUP(FM28,教师安排!$A:$Y,FM$2+1,FALSE),"")</f>
        <v/>
      </c>
      <c r="FN29" s="123" t="str">
        <f>IFERROR(VLOOKUP(FN28,教师安排!$A:$Y,FN$2+1,FALSE),"")</f>
        <v/>
      </c>
      <c r="FO29" s="126">
        <f>IFERROR(VLOOKUP(FO28,教师安排!$A:$Y,FO$2+1,FALSE),"")</f>
        <v>0</v>
      </c>
      <c r="FP29" s="126">
        <f>IFERROR(VLOOKUP(FP28,教师安排!$A:$Y,FP$2+1,FALSE),"")</f>
        <v>0</v>
      </c>
      <c r="FQ29" s="126">
        <f>IFERROR(VLOOKUP(FQ28,教师安排!$A:$Y,FQ$2+1,FALSE),"")</f>
        <v>0</v>
      </c>
      <c r="FR29" s="126">
        <f>IFERROR(VLOOKUP(FR28,教师安排!$A:$Y,FR$2+1,FALSE),"")</f>
        <v>0</v>
      </c>
      <c r="FS29" s="126">
        <f>IFERROR(VLOOKUP(FS28,教师安排!$A:$Y,FS$2+1,FALSE),"")</f>
        <v>0</v>
      </c>
      <c r="FT29" s="126">
        <f>IFERROR(VLOOKUP(FT28,教师安排!$A:$Y,FT$2+1,FALSE),"")</f>
        <v>0</v>
      </c>
      <c r="FU29" s="126">
        <f>IFERROR(VLOOKUP(FU28,教师安排!$A:$Y,FU$2+1,FALSE),"")</f>
        <v>0</v>
      </c>
      <c r="FV29" s="126">
        <f>IFERROR(VLOOKUP(FV28,教师安排!$A:$Y,FV$2+1,FALSE),"")</f>
        <v>0</v>
      </c>
      <c r="FW29" s="126">
        <f>IFERROR(VLOOKUP(FW28,教师安排!$A:$Y,FW$2+1,FALSE),"")</f>
        <v>0</v>
      </c>
      <c r="FX29" s="126">
        <f>IFERROR(VLOOKUP(FX28,教师安排!$A:$Y,FX$2+1,FALSE),"")</f>
        <v>0</v>
      </c>
      <c r="FY29" s="126">
        <f>IFERROR(VLOOKUP(FY28,教师安排!$A:$Y,FY$2+1,FALSE),"")</f>
        <v>0</v>
      </c>
      <c r="FZ29" s="126">
        <f>IFERROR(VLOOKUP(FZ28,教师安排!$A:$Y,FZ$2+1,FALSE),"")</f>
        <v>0</v>
      </c>
      <c r="GA29" s="126">
        <f>IFERROR(VLOOKUP(GA28,教师安排!$A:$Y,GA$2+1,FALSE),"")</f>
        <v>0</v>
      </c>
      <c r="GB29" s="126">
        <f>IFERROR(VLOOKUP(GB28,教师安排!$A:$Y,GB$2+1,FALSE),"")</f>
        <v>0</v>
      </c>
      <c r="GC29" s="126">
        <f>IFERROR(VLOOKUP(GC28,教师安排!$A:$Y,GC$2+1,FALSE),"")</f>
        <v>0</v>
      </c>
      <c r="GD29" s="126" t="str">
        <f>IFERROR(VLOOKUP(GD28,教师安排!$A:$Y,GD$2+1,FALSE),"")</f>
        <v/>
      </c>
      <c r="GE29" s="126" t="str">
        <f>IFERROR(VLOOKUP(GE28,教师安排!$A:$Y,GE$2+1,FALSE),"")</f>
        <v/>
      </c>
      <c r="GF29" s="126" t="str">
        <f>IFERROR(VLOOKUP(GF28,教师安排!$A:$Y,GF$2+1,FALSE),"")</f>
        <v/>
      </c>
      <c r="GG29" s="126" t="str">
        <f>IFERROR(VLOOKUP(GG28,教师安排!$A:$Y,GG$2+1,FALSE),"")</f>
        <v/>
      </c>
      <c r="GH29" s="126"/>
      <c r="GI29" s="126" t="str">
        <f>IFERROR(VLOOKUP(GI28,教师安排!$A:$Y,GI$2+1,FALSE),"")</f>
        <v/>
      </c>
      <c r="GJ29" s="126" t="str">
        <f>IFERROR(VLOOKUP(GJ28,教师安排!$A:$Y,GJ$2+1,FALSE),"")</f>
        <v/>
      </c>
      <c r="GK29" s="126" t="str">
        <f>IFERROR(VLOOKUP(GK28,教师安排!$A:$Y,GK$2+1,FALSE),"")</f>
        <v/>
      </c>
      <c r="GL29" s="126" t="str">
        <f>IFERROR(VLOOKUP(GL28,教师安排!$A:$Y,GL$2+1,FALSE),"")</f>
        <v/>
      </c>
      <c r="GM29" s="125" t="str">
        <f>IFERROR(VLOOKUP(GM28,教师安排!$A:$Y,GM$2+1,FALSE),"")</f>
        <v>杨彬</v>
      </c>
      <c r="GN29" s="125" t="str">
        <f>IFERROR(VLOOKUP(GN28,教师安排!$A:$Y,GN$2+1,FALSE),"")</f>
        <v>张苏</v>
      </c>
      <c r="GO29" s="125" t="str">
        <f>IFERROR(VLOOKUP(GO28,教师安排!$A:$Y,GO$2+1,FALSE),"")</f>
        <v>宋开元</v>
      </c>
      <c r="GP29" s="125" t="str">
        <f>IFERROR(VLOOKUP(GP28,教师安排!$A:$Y,GP$2+1,FALSE),"")</f>
        <v>史振塞</v>
      </c>
      <c r="GQ29" s="125" t="str">
        <f>IFERROR(VLOOKUP(GQ28,教师安排!$A:$Y,GQ$2+1,FALSE),"")</f>
        <v>李振铎</v>
      </c>
      <c r="GR29" s="125" t="str">
        <f>IFERROR(VLOOKUP(GR28,教师安排!$A:$Y,GR$2+1,FALSE),"")</f>
        <v>姜媛媛</v>
      </c>
      <c r="GS29" s="125" t="str">
        <f>IFERROR(VLOOKUP(GS28,教师安排!$A:$Y,GS$2+1,FALSE),"")</f>
        <v>孙显阳</v>
      </c>
      <c r="GT29" s="125" t="str">
        <f>IFERROR(VLOOKUP(GT28,教师安排!$A:$Y,GT$2+1,FALSE),"")</f>
        <v>高文凤</v>
      </c>
      <c r="GU29" s="125" t="str">
        <f>IFERROR(VLOOKUP(GU28,教师安排!$A:$Y,GU$2+1,FALSE),"")</f>
        <v>张冰雪</v>
      </c>
      <c r="GV29" s="125" t="str">
        <f>IFERROR(VLOOKUP(GV28,教师安排!$A:$Y,GV$2+1,FALSE),"")</f>
        <v>张喆</v>
      </c>
      <c r="GW29" s="125">
        <f>IFERROR(VLOOKUP(GW28,教师安排!$A:$Y,GW$2+1,FALSE),"")</f>
        <v>0</v>
      </c>
      <c r="GX29" s="125">
        <f>IFERROR(VLOOKUP(GX28,教师安排!$A:$Y,GX$2+1,FALSE),"")</f>
        <v>0</v>
      </c>
      <c r="GY29" s="125" t="str">
        <f>IFERROR(VLOOKUP(GY28,教师安排!$A:$Y,GY$2+1,FALSE),"")</f>
        <v>范林林</v>
      </c>
      <c r="GZ29" s="125" t="str">
        <f>IFERROR(VLOOKUP(GZ28,教师安排!$A:$Y,GZ$2+1,FALSE),"")</f>
        <v>董艳华</v>
      </c>
      <c r="HA29" s="125" t="str">
        <f>IFERROR(VLOOKUP(HA28,教师安排!$A:$Y,HA$2+1,FALSE),"")</f>
        <v>张鑫</v>
      </c>
      <c r="HB29" s="125" t="str">
        <f>IFERROR(VLOOKUP(HB28,教师安排!$A:$Y,HB$2+1,FALSE),"")</f>
        <v/>
      </c>
      <c r="HC29" s="125" t="str">
        <f>IFERROR(VLOOKUP(HC28,教师安排!$A:$Y,HC$2+1,FALSE),"")</f>
        <v/>
      </c>
      <c r="HD29" s="125" t="str">
        <f>IFERROR(VLOOKUP(HD28,教师安排!$A:$Y,HD$2+1,FALSE),"")</f>
        <v/>
      </c>
      <c r="HE29" s="125" t="str">
        <f>IFERROR(VLOOKUP(HE28,教师安排!$A:$Y,HE$2+1,FALSE),"")</f>
        <v/>
      </c>
      <c r="HF29" s="125"/>
      <c r="HG29" s="125" t="str">
        <f>IFERROR(VLOOKUP(HG28,教师安排!$A:$Y,HG$2+1,FALSE),"")</f>
        <v/>
      </c>
      <c r="HH29" s="125" t="str">
        <f>IFERROR(VLOOKUP(HH28,教师安排!$A:$Y,HH$2+1,FALSE),"")</f>
        <v/>
      </c>
      <c r="HI29" s="125" t="str">
        <f>IFERROR(VLOOKUP(HI28,教师安排!$A:$Y,HI$2+1,FALSE),"")</f>
        <v/>
      </c>
      <c r="HJ29" s="125" t="str">
        <f>IFERROR(VLOOKUP(HJ28,教师安排!$A:$Y,HJ$2+1,FALSE),"")</f>
        <v/>
      </c>
      <c r="HK29" s="126" t="str">
        <f>IFERROR(VLOOKUP(HK28,教师安排!$A:$Y,HK$2+1,FALSE),"")</f>
        <v>岳/厉</v>
      </c>
      <c r="HL29" s="126" t="str">
        <f>IFERROR(VLOOKUP(HL28,教师安排!$A:$Y,HL$2+1,FALSE),"")</f>
        <v>姚来朋</v>
      </c>
      <c r="HM29" s="126" t="str">
        <f>IFERROR(VLOOKUP(HM28,教师安排!$A:$Y,HM$2+1,FALSE),"")</f>
        <v>李会玲</v>
      </c>
      <c r="HN29" s="126" t="str">
        <f>IFERROR(VLOOKUP(HN28,教师安排!$A:$Y,HN$2+1,FALSE),"")</f>
        <v>岳/厉</v>
      </c>
      <c r="HO29" s="126" t="str">
        <f>IFERROR(VLOOKUP(HO28,教师安排!$A:$Y,HO$2+1,FALSE),"")</f>
        <v>赵雪敏</v>
      </c>
      <c r="HP29" s="126" t="str">
        <f>IFERROR(VLOOKUP(HP28,教师安排!$A:$Y,HP$2+1,FALSE),"")</f>
        <v>王露</v>
      </c>
      <c r="HQ29" s="126" t="str">
        <f>IFERROR(VLOOKUP(HQ28,教师安排!$A:$Y,HQ$2+1,FALSE),"")</f>
        <v>孙存义</v>
      </c>
      <c r="HR29" s="126" t="str">
        <f>IFERROR(VLOOKUP(HR28,教师安排!$A:$Y,HR$2+1,FALSE),"")</f>
        <v>高文凤</v>
      </c>
      <c r="HS29" s="126" t="str">
        <f>IFERROR(VLOOKUP(HS28,教师安排!$A:$Y,HS$2+1,FALSE),"")</f>
        <v>田凤美</v>
      </c>
      <c r="HT29" s="126" t="str">
        <f>IFERROR(VLOOKUP(HT28,教师安排!$A:$Y,HT$2+1,FALSE),"")</f>
        <v>董艳华</v>
      </c>
      <c r="HU29" s="126">
        <f>IFERROR(VLOOKUP(HU28,教师安排!$A:$Y,HU$2+1,FALSE),"")</f>
        <v>0</v>
      </c>
      <c r="HV29" s="126">
        <f>IFERROR(VLOOKUP(HV28,教师安排!$A:$Y,HV$2+1,FALSE),"")</f>
        <v>0</v>
      </c>
      <c r="HW29" s="126" t="str">
        <f>IFERROR(VLOOKUP(HW28,教师安排!$A:$Y,HW$2+1,FALSE),"")</f>
        <v>王菲</v>
      </c>
      <c r="HX29" s="126" t="str">
        <f>IFERROR(VLOOKUP(HX28,教师安排!$A:$Y,HX$2+1,FALSE),"")</f>
        <v>孙显阳</v>
      </c>
      <c r="HY29" s="126" t="str">
        <f>IFERROR(VLOOKUP(HY28,教师安排!$A:$Y,HY$2+1,FALSE),"")</f>
        <v>孙秋杰</v>
      </c>
      <c r="HZ29" s="126" t="str">
        <f>IFERROR(VLOOKUP(HZ28,教师安排!$A:$Y,HZ$2+1,FALSE),"")</f>
        <v>岳海霞</v>
      </c>
      <c r="IA29" s="126" t="str">
        <f>IFERROR(VLOOKUP(IA28,教师安排!$A:$Y,IA$2+1,FALSE),"")</f>
        <v/>
      </c>
      <c r="IB29" s="126" t="str">
        <f>IFERROR(VLOOKUP(IB28,教师安排!$A:$Y,IB$2+1,FALSE),"")</f>
        <v>厉彦龙</v>
      </c>
      <c r="IC29" s="126" t="str">
        <f>IFERROR(VLOOKUP(IC28,教师安排!$A:$Y,IC$2+1,FALSE),"")</f>
        <v/>
      </c>
      <c r="ID29" s="126"/>
      <c r="IE29" s="126" t="str">
        <f>IFERROR(VLOOKUP(IE28,教师安排!$A:$Y,IE$2+1,FALSE),"")</f>
        <v/>
      </c>
      <c r="IF29" s="126" t="str">
        <f>IFERROR(VLOOKUP(IF28,教师安排!$A:$Y,IF$2+1,FALSE),"")</f>
        <v/>
      </c>
      <c r="IG29" s="126" t="str">
        <f>IFERROR(VLOOKUP(IG28,教师安排!$A:$Y,IG$2+1,FALSE),"")</f>
        <v/>
      </c>
      <c r="IH29" s="126" t="str">
        <f>IFERROR(VLOOKUP(IH28,教师安排!$A:$Y,IH$2+1,FALSE),"")</f>
        <v/>
      </c>
      <c r="II29" s="125" t="str">
        <f>IFERROR(VLOOKUP(II28,教师安排!$A:$Y,II$2+1,FALSE),"")</f>
        <v>康波</v>
      </c>
      <c r="IJ29" s="125" t="str">
        <f>IFERROR(VLOOKUP(IJ28,教师安排!$A:$Y,IJ$2+1,FALSE),"")</f>
        <v>史振塞</v>
      </c>
      <c r="IK29" s="125" t="str">
        <f>IFERROR(VLOOKUP(IK28,教师安排!$A:$Y,IK$2+1,FALSE),"")</f>
        <v>姚来朋</v>
      </c>
      <c r="IL29" s="125" t="str">
        <f>IFERROR(VLOOKUP(IL28,教师安排!$A:$Y,IL$2+1,FALSE),"")</f>
        <v>马崇庆</v>
      </c>
      <c r="IM29" s="125" t="str">
        <f>IFERROR(VLOOKUP(IM28,教师安排!$A:$Y,IM$2+1,FALSE),"")</f>
        <v>王灼</v>
      </c>
      <c r="IN29" s="125" t="str">
        <f>IFERROR(VLOOKUP(IN28,教师安排!$A:$Y,IN$2+1,FALSE),"")</f>
        <v>翟淑玮</v>
      </c>
      <c r="IO29" s="125" t="str">
        <f>IFERROR(VLOOKUP(IO28,教师安排!$A:$Y,IO$2+1,FALSE),"")</f>
        <v>孙锦锦</v>
      </c>
      <c r="IP29" s="125" t="str">
        <f>IFERROR(VLOOKUP(IP28,教师安排!$A:$Y,IP$2+1,FALSE),"")</f>
        <v>孙秋杰</v>
      </c>
      <c r="IQ29" s="125" t="str">
        <f>IFERROR(VLOOKUP(IQ28,教师安排!$A:$Y,IQ$2+1,FALSE),"")</f>
        <v>孙显阳</v>
      </c>
      <c r="IR29" s="125" t="str">
        <f>IFERROR(VLOOKUP(IR28,教师安排!$A:$Y,IR$2+1,FALSE),"")</f>
        <v>张喆</v>
      </c>
      <c r="IS29" s="125">
        <f>IFERROR(VLOOKUP(IS28,教师安排!$A:$Y,IS$2+1,FALSE),"")</f>
        <v>0</v>
      </c>
      <c r="IT29" s="125">
        <f>IFERROR(VLOOKUP(IT28,教师安排!$A:$Y,IT$2+1,FALSE),"")</f>
        <v>0</v>
      </c>
      <c r="IU29" s="125" t="str">
        <f>IFERROR(VLOOKUP(IU28,教师安排!$A:$Y,IU$2+1,FALSE),"")</f>
        <v>范林林</v>
      </c>
      <c r="IV29" s="125" t="str">
        <f>IFERROR(VLOOKUP(IV28,教师安排!$A:$Y,IV$2+1,FALSE),"")</f>
        <v>董艳华</v>
      </c>
      <c r="IW29" s="125" t="str">
        <f>IFERROR(VLOOKUP(IW28,教师安排!$A:$Y,IW$2+1,FALSE),"")</f>
        <v>夏文杰</v>
      </c>
      <c r="IX29" s="125" t="str">
        <f>IFERROR(VLOOKUP(IX28,教师安排!$A:$Y,IX$2+1,FALSE),"")</f>
        <v/>
      </c>
      <c r="IY29" s="125" t="str">
        <f>IFERROR(VLOOKUP(IY28,教师安排!$A:$Y,IY$2+1,FALSE),"")</f>
        <v/>
      </c>
      <c r="IZ29" s="125" t="str">
        <f>IFERROR(VLOOKUP(IZ28,教师安排!$A:$Y,IZ$2+1,FALSE),"")</f>
        <v/>
      </c>
      <c r="JA29" s="125" t="str">
        <f>IFERROR(VLOOKUP(JA28,教师安排!$A:$Y,JA$2+1,FALSE),"")</f>
        <v/>
      </c>
      <c r="JB29" s="125"/>
      <c r="JC29" s="125" t="str">
        <f>IFERROR(VLOOKUP(JC28,教师安排!$A:$Y,JC$2+1,FALSE),"")</f>
        <v/>
      </c>
      <c r="JD29" s="125" t="str">
        <f>IFERROR(VLOOKUP(JD28,教师安排!$A:$Y,JD$2+1,FALSE),"")</f>
        <v/>
      </c>
      <c r="JE29" s="125" t="str">
        <f>IFERROR(VLOOKUP(JE28,教师安排!$A:$Y,JE$2+1,FALSE),"")</f>
        <v/>
      </c>
      <c r="JF29" s="125" t="str">
        <f>IFERROR(VLOOKUP(JF28,教师安排!$A:$Y,JF$2+1,FALSE),"")</f>
        <v/>
      </c>
      <c r="JG29" s="126" t="str">
        <f>IFERROR(VLOOKUP(JG28,教师安排!$A:$Y,JG$2+1,FALSE),"")</f>
        <v>侯淑贤</v>
      </c>
      <c r="JH29" s="126" t="str">
        <f>IFERROR(VLOOKUP(JH28,教师安排!$A:$Y,JH$2+1,FALSE),"")</f>
        <v>姚来朋</v>
      </c>
      <c r="JI29" s="126" t="str">
        <f>IFERROR(VLOOKUP(JI28,教师安排!$A:$Y,JI$2+1,FALSE),"")</f>
        <v>杨彬</v>
      </c>
      <c r="JJ29" s="126" t="str">
        <f>IFERROR(VLOOKUP(JJ28,教师安排!$A:$Y,JJ$2+1,FALSE),"")</f>
        <v>马崇庆</v>
      </c>
      <c r="JK29" s="126" t="str">
        <f>IFERROR(VLOOKUP(JK28,教师安排!$A:$Y,JK$2+1,FALSE),"")</f>
        <v>李振铎</v>
      </c>
      <c r="JL29" s="126" t="str">
        <f>IFERROR(VLOOKUP(JL28,教师安排!$A:$Y,JL$2+1,FALSE),"")</f>
        <v>孙显阳</v>
      </c>
      <c r="JM29" s="126" t="str">
        <f>IFERROR(VLOOKUP(JM28,教师安排!$A:$Y,JM$2+1,FALSE),"")</f>
        <v>韩丽梅</v>
      </c>
      <c r="JN29" s="126" t="str">
        <f>IFERROR(VLOOKUP(JN28,教师安排!$A:$Y,JN$2+1,FALSE),"")</f>
        <v>宋开元</v>
      </c>
      <c r="JO29" s="126" t="str">
        <f>IFERROR(VLOOKUP(JO28,教师安排!$A:$Y,JO$2+1,FALSE),"")</f>
        <v>张冰雪</v>
      </c>
      <c r="JP29" s="126" t="str">
        <f>IFERROR(VLOOKUP(JP28,教师安排!$A:$Y,JP$2+1,FALSE),"")</f>
        <v>孙娜</v>
      </c>
      <c r="JQ29" s="126">
        <f>IFERROR(VLOOKUP(JQ28,教师安排!$A:$Y,JQ$2+1,FALSE),"")</f>
        <v>0</v>
      </c>
      <c r="JR29" s="126">
        <f>IFERROR(VLOOKUP(JR28,教师安排!$A:$Y,JR$2+1,FALSE),"")</f>
        <v>0</v>
      </c>
      <c r="JS29" s="126" t="str">
        <f>IFERROR(VLOOKUP(JS28,教师安排!$A:$Y,JS$2+1,FALSE),"")</f>
        <v>王菲</v>
      </c>
      <c r="JT29" s="126" t="str">
        <f>IFERROR(VLOOKUP(JT28,教师安排!$A:$Y,JT$2+1,FALSE),"")</f>
        <v>孙锦锦</v>
      </c>
      <c r="JU29" s="126" t="str">
        <f>IFERROR(VLOOKUP(JU28,教师安排!$A:$Y,JU$2+1,FALSE),"")</f>
        <v>高文凤</v>
      </c>
      <c r="JV29" s="126" t="str">
        <f>IFERROR(VLOOKUP(JV28,教师安排!$A:$Y,JV$2+1,FALSE),"")</f>
        <v/>
      </c>
      <c r="JW29" s="126" t="str">
        <f>IFERROR(VLOOKUP(JW28,教师安排!$A:$Y,JW$2+1,FALSE),"")</f>
        <v/>
      </c>
      <c r="JX29" s="126" t="str">
        <f>IFERROR(VLOOKUP(JX28,教师安排!$A:$Y,JX$2+1,FALSE),"")</f>
        <v/>
      </c>
      <c r="JY29" s="126" t="str">
        <f>IFERROR(VLOOKUP(JY28,教师安排!$A:$Y,JY$2+1,FALSE),"")</f>
        <v/>
      </c>
      <c r="JZ29" s="126"/>
      <c r="KA29" s="126" t="str">
        <f>IFERROR(VLOOKUP(KA28,教师安排!$A:$Y,KA$2+1,FALSE),"")</f>
        <v/>
      </c>
      <c r="KB29" s="126" t="str">
        <f>IFERROR(VLOOKUP(KB28,教师安排!$A:$Y,KB$2+1,FALSE),"")</f>
        <v/>
      </c>
      <c r="KC29" s="126" t="str">
        <f>IFERROR(VLOOKUP(KC28,教师安排!$A:$Y,KC$2+1,FALSE),"")</f>
        <v/>
      </c>
      <c r="KD29" s="126" t="str">
        <f>IFERROR(VLOOKUP(KD28,教师安排!$A:$Y,KD$2+1,FALSE),"")</f>
        <v/>
      </c>
    </row>
    <row r="30" spans="1:290" s="117" customFormat="1" ht="18" customHeight="1" x14ac:dyDescent="0.3">
      <c r="A30" s="145"/>
      <c r="B30" s="143">
        <v>4</v>
      </c>
      <c r="C30" s="121" t="s">
        <v>54</v>
      </c>
      <c r="D30" s="121" t="s">
        <v>76</v>
      </c>
      <c r="E30" s="121" t="s">
        <v>62</v>
      </c>
      <c r="F30" s="121" t="s">
        <v>26</v>
      </c>
      <c r="G30" s="121" t="s">
        <v>62</v>
      </c>
      <c r="H30" s="121" t="s">
        <v>42</v>
      </c>
      <c r="I30" s="121" t="s">
        <v>58</v>
      </c>
      <c r="J30" s="121" t="s">
        <v>76</v>
      </c>
      <c r="K30" s="121" t="s">
        <v>92</v>
      </c>
      <c r="L30" s="121" t="s">
        <v>34</v>
      </c>
      <c r="M30" s="121" t="s">
        <v>134</v>
      </c>
      <c r="N30" s="121" t="s">
        <v>135</v>
      </c>
      <c r="O30" s="121" t="s">
        <v>76</v>
      </c>
      <c r="P30" s="121" t="s">
        <v>76</v>
      </c>
      <c r="Q30" s="121" t="s">
        <v>26</v>
      </c>
      <c r="R30" s="121"/>
      <c r="S30" s="121"/>
      <c r="T30" s="121"/>
      <c r="U30" s="121"/>
      <c r="V30" s="121"/>
      <c r="W30" s="121"/>
      <c r="X30" s="121"/>
      <c r="Y30" s="121"/>
      <c r="Z30" s="121"/>
      <c r="AA30" s="122" t="s">
        <v>26</v>
      </c>
      <c r="AB30" s="122" t="s">
        <v>34</v>
      </c>
      <c r="AC30" s="122" t="s">
        <v>54</v>
      </c>
      <c r="AD30" s="122" t="s">
        <v>34</v>
      </c>
      <c r="AE30" s="122" t="s">
        <v>42</v>
      </c>
      <c r="AF30" s="122" t="s">
        <v>58</v>
      </c>
      <c r="AG30" s="122" t="s">
        <v>89</v>
      </c>
      <c r="AH30" s="122" t="s">
        <v>76</v>
      </c>
      <c r="AI30" s="122" t="s">
        <v>66</v>
      </c>
      <c r="AJ30" s="122" t="s">
        <v>66</v>
      </c>
      <c r="AK30" s="122" t="s">
        <v>134</v>
      </c>
      <c r="AL30" s="122" t="s">
        <v>135</v>
      </c>
      <c r="AM30" s="122" t="s">
        <v>34</v>
      </c>
      <c r="AN30" s="122" t="s">
        <v>89</v>
      </c>
      <c r="AO30" s="122" t="s">
        <v>66</v>
      </c>
      <c r="AP30" s="122"/>
      <c r="AQ30" s="122"/>
      <c r="AR30" s="122"/>
      <c r="AS30" s="122"/>
      <c r="AT30" s="122"/>
      <c r="AU30" s="122"/>
      <c r="AV30" s="122"/>
      <c r="AW30" s="122"/>
      <c r="AX30" s="122"/>
      <c r="AY30" s="121" t="s">
        <v>117</v>
      </c>
      <c r="AZ30" s="121" t="s">
        <v>117</v>
      </c>
      <c r="BA30" s="121" t="s">
        <v>117</v>
      </c>
      <c r="BB30" s="121" t="s">
        <v>117</v>
      </c>
      <c r="BC30" s="121" t="s">
        <v>58</v>
      </c>
      <c r="BD30" s="121" t="s">
        <v>62</v>
      </c>
      <c r="BE30" s="121" t="s">
        <v>58</v>
      </c>
      <c r="BF30" s="121" t="s">
        <v>58</v>
      </c>
      <c r="BG30" s="121" t="s">
        <v>42</v>
      </c>
      <c r="BH30" s="121" t="s">
        <v>42</v>
      </c>
      <c r="BI30" s="121" t="s">
        <v>134</v>
      </c>
      <c r="BJ30" s="121" t="s">
        <v>135</v>
      </c>
      <c r="BK30" s="121" t="s">
        <v>26</v>
      </c>
      <c r="BL30" s="121" t="s">
        <v>66</v>
      </c>
      <c r="BM30" s="121" t="s">
        <v>92</v>
      </c>
      <c r="BN30" s="121"/>
      <c r="BO30" s="121"/>
      <c r="BP30" s="121"/>
      <c r="BQ30" s="121"/>
      <c r="BR30" s="121"/>
      <c r="BS30" s="121"/>
      <c r="BT30" s="121"/>
      <c r="BU30" s="121"/>
      <c r="BV30" s="121"/>
      <c r="BW30" s="122" t="s">
        <v>66</v>
      </c>
      <c r="BX30" s="122" t="s">
        <v>54</v>
      </c>
      <c r="BY30" s="122" t="s">
        <v>34</v>
      </c>
      <c r="BZ30" s="122" t="s">
        <v>34</v>
      </c>
      <c r="CA30" s="122" t="s">
        <v>117</v>
      </c>
      <c r="CB30" s="122" t="s">
        <v>117</v>
      </c>
      <c r="CC30" s="122" t="s">
        <v>117</v>
      </c>
      <c r="CD30" s="122" t="s">
        <v>117</v>
      </c>
      <c r="CE30" s="122" t="s">
        <v>117</v>
      </c>
      <c r="CF30" s="122" t="s">
        <v>117</v>
      </c>
      <c r="CG30" s="122" t="s">
        <v>134</v>
      </c>
      <c r="CH30" s="122" t="s">
        <v>135</v>
      </c>
      <c r="CI30" s="122" t="s">
        <v>117</v>
      </c>
      <c r="CJ30" s="122" t="s">
        <v>117</v>
      </c>
      <c r="CK30" s="122" t="s">
        <v>117</v>
      </c>
      <c r="CL30" s="122"/>
      <c r="CM30" s="122"/>
      <c r="CN30" s="122"/>
      <c r="CO30" s="122"/>
      <c r="CP30" s="122"/>
      <c r="CQ30" s="122"/>
      <c r="CR30" s="122"/>
      <c r="CS30" s="122"/>
      <c r="CT30" s="122"/>
      <c r="CU30" s="121" t="s">
        <v>26</v>
      </c>
      <c r="CV30" s="121" t="s">
        <v>34</v>
      </c>
      <c r="CW30" s="121" t="s">
        <v>58</v>
      </c>
      <c r="CX30" s="121" t="s">
        <v>34</v>
      </c>
      <c r="CY30" s="121" t="s">
        <v>26</v>
      </c>
      <c r="CZ30" s="121" t="s">
        <v>58</v>
      </c>
      <c r="DA30" s="121" t="s">
        <v>58</v>
      </c>
      <c r="DB30" s="121" t="s">
        <v>34</v>
      </c>
      <c r="DC30" s="121" t="s">
        <v>62</v>
      </c>
      <c r="DD30" s="121" t="s">
        <v>26</v>
      </c>
      <c r="DE30" s="121" t="s">
        <v>134</v>
      </c>
      <c r="DF30" s="121" t="s">
        <v>135</v>
      </c>
      <c r="DG30" s="121" t="s">
        <v>76</v>
      </c>
      <c r="DH30" s="121" t="s">
        <v>66</v>
      </c>
      <c r="DI30" s="121" t="s">
        <v>89</v>
      </c>
      <c r="DJ30" s="121"/>
      <c r="DK30" s="121"/>
      <c r="DL30" s="121"/>
      <c r="DM30" s="121"/>
      <c r="DN30" s="121"/>
      <c r="DO30" s="121"/>
      <c r="DP30" s="121"/>
      <c r="DQ30" s="121"/>
      <c r="DR30" s="121"/>
      <c r="DS30" s="122" t="s">
        <v>62</v>
      </c>
      <c r="DT30" s="122" t="s">
        <v>66</v>
      </c>
      <c r="DU30" s="122" t="s">
        <v>34</v>
      </c>
      <c r="DV30" s="122" t="s">
        <v>76</v>
      </c>
      <c r="DW30" s="122" t="s">
        <v>26</v>
      </c>
      <c r="DX30" s="122" t="s">
        <v>34</v>
      </c>
      <c r="DY30" s="122" t="s">
        <v>58</v>
      </c>
      <c r="DZ30" s="122" t="s">
        <v>26</v>
      </c>
      <c r="EA30" s="122" t="s">
        <v>76</v>
      </c>
      <c r="EB30" s="122" t="s">
        <v>34</v>
      </c>
      <c r="EC30" s="122" t="s">
        <v>134</v>
      </c>
      <c r="ED30" s="122" t="s">
        <v>135</v>
      </c>
      <c r="EE30" s="122" t="s">
        <v>26</v>
      </c>
      <c r="EF30" s="122" t="s">
        <v>26</v>
      </c>
      <c r="EG30" s="122" t="s">
        <v>34</v>
      </c>
      <c r="EH30" s="122"/>
      <c r="EI30" s="122"/>
      <c r="EJ30" s="122"/>
      <c r="EK30" s="122"/>
      <c r="EL30" s="122"/>
      <c r="EM30" s="122"/>
      <c r="EN30" s="122"/>
      <c r="EO30" s="122"/>
      <c r="EP30" s="122"/>
      <c r="EQ30" s="121" t="s">
        <v>117</v>
      </c>
      <c r="ER30" s="121" t="s">
        <v>117</v>
      </c>
      <c r="ES30" s="121" t="s">
        <v>117</v>
      </c>
      <c r="ET30" s="121" t="s">
        <v>117</v>
      </c>
      <c r="EU30" s="121" t="s">
        <v>117</v>
      </c>
      <c r="EV30" s="121" t="s">
        <v>117</v>
      </c>
      <c r="EW30" s="121" t="s">
        <v>117</v>
      </c>
      <c r="EX30" s="121" t="s">
        <v>117</v>
      </c>
      <c r="EY30" s="121" t="s">
        <v>117</v>
      </c>
      <c r="EZ30" s="121" t="s">
        <v>117</v>
      </c>
      <c r="FA30" s="121" t="s">
        <v>134</v>
      </c>
      <c r="FB30" s="121" t="s">
        <v>135</v>
      </c>
      <c r="FC30" s="121" t="s">
        <v>117</v>
      </c>
      <c r="FD30" s="121" t="s">
        <v>117</v>
      </c>
      <c r="FE30" s="121" t="s">
        <v>117</v>
      </c>
      <c r="FF30" s="121"/>
      <c r="FG30" s="121"/>
      <c r="FH30" s="121"/>
      <c r="FI30" s="121"/>
      <c r="FJ30" s="121"/>
      <c r="FK30" s="121"/>
      <c r="FL30" s="121"/>
      <c r="FM30" s="121"/>
      <c r="FN30" s="121"/>
      <c r="FO30" s="122" t="s">
        <v>54</v>
      </c>
      <c r="FP30" s="122" t="s">
        <v>76</v>
      </c>
      <c r="FQ30" s="122" t="s">
        <v>62</v>
      </c>
      <c r="FR30" s="122" t="s">
        <v>26</v>
      </c>
      <c r="FS30" s="122" t="s">
        <v>62</v>
      </c>
      <c r="FT30" s="122" t="s">
        <v>42</v>
      </c>
      <c r="FU30" s="122" t="s">
        <v>58</v>
      </c>
      <c r="FV30" s="122" t="s">
        <v>76</v>
      </c>
      <c r="FW30" s="122" t="s">
        <v>92</v>
      </c>
      <c r="FX30" s="122" t="s">
        <v>34</v>
      </c>
      <c r="FY30" s="122" t="s">
        <v>134</v>
      </c>
      <c r="FZ30" s="122" t="s">
        <v>135</v>
      </c>
      <c r="GA30" s="122" t="s">
        <v>76</v>
      </c>
      <c r="GB30" s="122" t="s">
        <v>76</v>
      </c>
      <c r="GC30" s="122" t="s">
        <v>26</v>
      </c>
      <c r="GD30" s="122"/>
      <c r="GE30" s="122"/>
      <c r="GF30" s="122"/>
      <c r="GG30" s="122"/>
      <c r="GH30" s="122"/>
      <c r="GI30" s="122"/>
      <c r="GJ30" s="122"/>
      <c r="GK30" s="122"/>
      <c r="GL30" s="122"/>
      <c r="GM30" s="121" t="s">
        <v>26</v>
      </c>
      <c r="GN30" s="121" t="s">
        <v>34</v>
      </c>
      <c r="GO30" s="121" t="s">
        <v>76</v>
      </c>
      <c r="GP30" s="121" t="s">
        <v>34</v>
      </c>
      <c r="GQ30" s="121" t="s">
        <v>42</v>
      </c>
      <c r="GR30" s="121" t="s">
        <v>58</v>
      </c>
      <c r="GS30" s="121" t="s">
        <v>89</v>
      </c>
      <c r="GT30" s="121" t="s">
        <v>76</v>
      </c>
      <c r="GU30" s="121" t="s">
        <v>66</v>
      </c>
      <c r="GV30" s="121" t="s">
        <v>66</v>
      </c>
      <c r="GW30" s="121" t="s">
        <v>134</v>
      </c>
      <c r="GX30" s="121" t="s">
        <v>135</v>
      </c>
      <c r="GY30" s="121" t="s">
        <v>34</v>
      </c>
      <c r="GZ30" s="121" t="s">
        <v>89</v>
      </c>
      <c r="HA30" s="121" t="s">
        <v>66</v>
      </c>
      <c r="HB30" s="121"/>
      <c r="HC30" s="121"/>
      <c r="HD30" s="121"/>
      <c r="HE30" s="121"/>
      <c r="HF30" s="121"/>
      <c r="HG30" s="121"/>
      <c r="HH30" s="121"/>
      <c r="HI30" s="121"/>
      <c r="HJ30" s="121"/>
      <c r="HK30" s="122" t="s">
        <v>117</v>
      </c>
      <c r="HL30" s="122" t="s">
        <v>117</v>
      </c>
      <c r="HM30" s="122" t="s">
        <v>117</v>
      </c>
      <c r="HN30" s="122" t="s">
        <v>117</v>
      </c>
      <c r="HO30" s="122" t="s">
        <v>58</v>
      </c>
      <c r="HP30" s="122" t="s">
        <v>62</v>
      </c>
      <c r="HQ30" s="122" t="s">
        <v>58</v>
      </c>
      <c r="HR30" s="122" t="s">
        <v>58</v>
      </c>
      <c r="HS30" s="122" t="s">
        <v>42</v>
      </c>
      <c r="HT30" s="122" t="s">
        <v>42</v>
      </c>
      <c r="HU30" s="122" t="s">
        <v>134</v>
      </c>
      <c r="HV30" s="122" t="s">
        <v>135</v>
      </c>
      <c r="HW30" s="122" t="s">
        <v>26</v>
      </c>
      <c r="HX30" s="122" t="s">
        <v>66</v>
      </c>
      <c r="HY30" s="122" t="s">
        <v>92</v>
      </c>
      <c r="HZ30" s="122"/>
      <c r="IA30" s="122"/>
      <c r="IB30" s="122"/>
      <c r="IC30" s="122"/>
      <c r="ID30" s="122"/>
      <c r="IE30" s="122"/>
      <c r="IF30" s="122"/>
      <c r="IG30" s="122"/>
      <c r="IH30" s="122"/>
      <c r="II30" s="121" t="s">
        <v>66</v>
      </c>
      <c r="IJ30" s="121" t="s">
        <v>54</v>
      </c>
      <c r="IK30" s="121" t="s">
        <v>34</v>
      </c>
      <c r="IL30" s="121" t="s">
        <v>34</v>
      </c>
      <c r="IM30" s="121" t="s">
        <v>117</v>
      </c>
      <c r="IN30" s="121" t="s">
        <v>117</v>
      </c>
      <c r="IO30" s="121" t="s">
        <v>117</v>
      </c>
      <c r="IP30" s="121" t="s">
        <v>117</v>
      </c>
      <c r="IQ30" s="121" t="s">
        <v>117</v>
      </c>
      <c r="IR30" s="121" t="s">
        <v>117</v>
      </c>
      <c r="IS30" s="121" t="s">
        <v>134</v>
      </c>
      <c r="IT30" s="121" t="s">
        <v>135</v>
      </c>
      <c r="IU30" s="121" t="s">
        <v>117</v>
      </c>
      <c r="IV30" s="121" t="s">
        <v>117</v>
      </c>
      <c r="IW30" s="121" t="s">
        <v>117</v>
      </c>
      <c r="IX30" s="121"/>
      <c r="IY30" s="121"/>
      <c r="IZ30" s="121"/>
      <c r="JA30" s="121"/>
      <c r="JB30" s="121"/>
      <c r="JC30" s="121"/>
      <c r="JD30" s="121"/>
      <c r="JE30" s="121"/>
      <c r="JF30" s="121"/>
      <c r="JG30" s="122" t="s">
        <v>26</v>
      </c>
      <c r="JH30" s="122" t="s">
        <v>34</v>
      </c>
      <c r="JI30" s="122" t="s">
        <v>58</v>
      </c>
      <c r="JJ30" s="122" t="s">
        <v>34</v>
      </c>
      <c r="JK30" s="122" t="s">
        <v>26</v>
      </c>
      <c r="JL30" s="122" t="s">
        <v>58</v>
      </c>
      <c r="JM30" s="122" t="s">
        <v>58</v>
      </c>
      <c r="JN30" s="122" t="s">
        <v>34</v>
      </c>
      <c r="JO30" s="122" t="s">
        <v>62</v>
      </c>
      <c r="JP30" s="122" t="s">
        <v>26</v>
      </c>
      <c r="JQ30" s="122" t="s">
        <v>134</v>
      </c>
      <c r="JR30" s="122" t="s">
        <v>135</v>
      </c>
      <c r="JS30" s="122" t="s">
        <v>76</v>
      </c>
      <c r="JT30" s="122" t="s">
        <v>66</v>
      </c>
      <c r="JU30" s="122" t="s">
        <v>89</v>
      </c>
      <c r="JV30" s="122"/>
      <c r="JW30" s="122"/>
      <c r="JX30" s="122"/>
      <c r="JY30" s="122"/>
      <c r="JZ30" s="122"/>
      <c r="KA30" s="122"/>
      <c r="KB30" s="122"/>
      <c r="KC30" s="122"/>
      <c r="KD30" s="122"/>
    </row>
    <row r="31" spans="1:290" s="117" customFormat="1" ht="18" customHeight="1" x14ac:dyDescent="0.4">
      <c r="A31" s="145"/>
      <c r="B31" s="143"/>
      <c r="C31" s="128" t="str">
        <f>IFERROR(VLOOKUP(C30,教师安排!$A:$Y,C$2+1,FALSE),"")</f>
        <v>康波</v>
      </c>
      <c r="D31" s="128" t="str">
        <f>IFERROR(VLOOKUP(D30,教师安排!$A:$Y,D$2+1,FALSE),"")</f>
        <v>李会玲</v>
      </c>
      <c r="E31" s="128" t="str">
        <f>IFERROR(VLOOKUP(E30,教师安排!$A:$Y,E$2+1,FALSE),"")</f>
        <v>周兴玲</v>
      </c>
      <c r="F31" s="128" t="str">
        <f>IFERROR(VLOOKUP(F30,教师安排!$A:$Y,F$2+1,FALSE),"")</f>
        <v>史振塞</v>
      </c>
      <c r="G31" s="128" t="str">
        <f>IFERROR(VLOOKUP(G30,教师安排!$A:$Y,G$2+1,FALSE),"")</f>
        <v>刘腾</v>
      </c>
      <c r="H31" s="128" t="str">
        <f>IFERROR(VLOOKUP(H30,教师安排!$A:$Y,H$2+1,FALSE),"")</f>
        <v>翟淑玮</v>
      </c>
      <c r="I31" s="128" t="str">
        <f>IFERROR(VLOOKUP(I30,教师安排!$A:$Y,I$2+1,FALSE),"")</f>
        <v>马崇庆</v>
      </c>
      <c r="J31" s="128" t="str">
        <f>IFERROR(VLOOKUP(J30,教师安排!$A:$Y,J$2+1,FALSE),"")</f>
        <v>孙秋杰</v>
      </c>
      <c r="K31" s="128" t="str">
        <f>IFERROR(VLOOKUP(K30,教师安排!$A:$Y,K$2+1,FALSE),"")</f>
        <v>孙显阳</v>
      </c>
      <c r="L31" s="128" t="str">
        <f>IFERROR(VLOOKUP(L30,教师安排!$A:$Y,L$2+1,FALSE),"")</f>
        <v>孙娜</v>
      </c>
      <c r="M31" s="128">
        <f>IFERROR(VLOOKUP(M30,教师安排!$A:$Y,M$2+1,FALSE),"")</f>
        <v>0</v>
      </c>
      <c r="N31" s="128">
        <f>IFERROR(VLOOKUP(N30,教师安排!$A:$Y,N$2+1,FALSE),"")</f>
        <v>0</v>
      </c>
      <c r="O31" s="128" t="str">
        <f>IFERROR(VLOOKUP(O30,教师安排!$A:$Y,O$2+1,FALSE),"")</f>
        <v>王硕</v>
      </c>
      <c r="P31" s="128" t="str">
        <f>IFERROR(VLOOKUP(P30,教师安排!$A:$Y,P$2+1,FALSE),"")</f>
        <v>孙锦锦</v>
      </c>
      <c r="Q31" s="128" t="str">
        <f>IFERROR(VLOOKUP(Q30,教师安排!$A:$Y,Q$2+1,FALSE),"")</f>
        <v>路睿</v>
      </c>
      <c r="R31" s="128" t="str">
        <f>IFERROR(VLOOKUP(R30,教师安排!$A:$Y,R$2+1,FALSE),"")</f>
        <v/>
      </c>
      <c r="S31" s="128" t="str">
        <f>IFERROR(VLOOKUP(S30,教师安排!$A:$Y,S$2+1,FALSE),"")</f>
        <v/>
      </c>
      <c r="T31" s="128" t="str">
        <f>IFERROR(VLOOKUP(T30,教师安排!$A:$Y,T$2+1,FALSE),"")</f>
        <v/>
      </c>
      <c r="U31" s="128" t="str">
        <f>IFERROR(VLOOKUP(U30,教师安排!$A:$Y,U$2+1,FALSE),"")</f>
        <v/>
      </c>
      <c r="V31" s="128"/>
      <c r="W31" s="128" t="str">
        <f>IFERROR(VLOOKUP(W30,教师安排!$A:$Y,W$2+1,FALSE),"")</f>
        <v/>
      </c>
      <c r="X31" s="128" t="str">
        <f>IFERROR(VLOOKUP(X30,教师安排!$A:$Y,X$2+1,FALSE),"")</f>
        <v/>
      </c>
      <c r="Y31" s="128" t="str">
        <f>IFERROR(VLOOKUP(Y30,教师安排!$A:$Y,Y$2+1,FALSE),"")</f>
        <v/>
      </c>
      <c r="Z31" s="128" t="str">
        <f>IFERROR(VLOOKUP(Z30,教师安排!$A:$Y,Z$2+1,FALSE),"")</f>
        <v/>
      </c>
      <c r="AA31" s="129" t="str">
        <f>IFERROR(VLOOKUP(AA30,教师安排!$A:$Y,AA$2+1,FALSE),"")</f>
        <v>杨彬</v>
      </c>
      <c r="AB31" s="129" t="str">
        <f>IFERROR(VLOOKUP(AB30,教师安排!$A:$Y,AB$2+1,FALSE),"")</f>
        <v>姚来朋</v>
      </c>
      <c r="AC31" s="129" t="str">
        <f>IFERROR(VLOOKUP(AC30,教师安排!$A:$Y,AC$2+1,FALSE),"")</f>
        <v>张雨晴</v>
      </c>
      <c r="AD31" s="129" t="str">
        <f>IFERROR(VLOOKUP(AD30,教师安排!$A:$Y,AD$2+1,FALSE),"")</f>
        <v>侯淑贤</v>
      </c>
      <c r="AE31" s="129" t="str">
        <f>IFERROR(VLOOKUP(AE30,教师安排!$A:$Y,AE$2+1,FALSE),"")</f>
        <v>王灼</v>
      </c>
      <c r="AF31" s="129" t="str">
        <f>IFERROR(VLOOKUP(AF30,教师安排!$A:$Y,AF$2+1,FALSE),"")</f>
        <v>李振铎</v>
      </c>
      <c r="AG31" s="129" t="str">
        <f>IFERROR(VLOOKUP(AG30,教师安排!$A:$Y,AG$2+1,FALSE),"")</f>
        <v>孙显阳</v>
      </c>
      <c r="AH31" s="129" t="str">
        <f>IFERROR(VLOOKUP(AH30,教师安排!$A:$Y,AH$2+1,FALSE),"")</f>
        <v>孙秋杰</v>
      </c>
      <c r="AI31" s="129" t="str">
        <f>IFERROR(VLOOKUP(AI30,教师安排!$A:$Y,AI$2+1,FALSE),"")</f>
        <v>田凤美</v>
      </c>
      <c r="AJ31" s="129" t="str">
        <f>IFERROR(VLOOKUP(AJ30,教师安排!$A:$Y,AJ$2+1,FALSE),"")</f>
        <v>董艳华</v>
      </c>
      <c r="AK31" s="129">
        <f>IFERROR(VLOOKUP(AK30,教师安排!$A:$Y,AK$2+1,FALSE),"")</f>
        <v>0</v>
      </c>
      <c r="AL31" s="129">
        <f>IFERROR(VLOOKUP(AL30,教师安排!$A:$Y,AL$2+1,FALSE),"")</f>
        <v>0</v>
      </c>
      <c r="AM31" s="129" t="str">
        <f>IFERROR(VLOOKUP(AM30,教师安排!$A:$Y,AM$2+1,FALSE),"")</f>
        <v>范林林</v>
      </c>
      <c r="AN31" s="129" t="str">
        <f>IFERROR(VLOOKUP(AN30,教师安排!$A:$Y,AN$2+1,FALSE),"")</f>
        <v>张喆</v>
      </c>
      <c r="AO31" s="129" t="str">
        <f>IFERROR(VLOOKUP(AO30,教师安排!$A:$Y,AO$2+1,FALSE),"")</f>
        <v>夏文杰</v>
      </c>
      <c r="AP31" s="129" t="str">
        <f>IFERROR(VLOOKUP(AP30,教师安排!$A:$Y,AP$2+1,FALSE),"")</f>
        <v/>
      </c>
      <c r="AQ31" s="129" t="str">
        <f>IFERROR(VLOOKUP(AQ30,教师安排!$A:$Y,AQ$2+1,FALSE),"")</f>
        <v/>
      </c>
      <c r="AR31" s="129" t="str">
        <f>IFERROR(VLOOKUP(AR30,教师安排!$A:$Y,AR$2+1,FALSE),"")</f>
        <v/>
      </c>
      <c r="AS31" s="129" t="str">
        <f>IFERROR(VLOOKUP(AS30,教师安排!$A:$Y,AS$2+1,FALSE),"")</f>
        <v/>
      </c>
      <c r="AT31" s="129"/>
      <c r="AU31" s="129" t="str">
        <f>IFERROR(VLOOKUP(AU30,教师安排!$A:$Y,AU$2+1,FALSE),"")</f>
        <v/>
      </c>
      <c r="AV31" s="129" t="str">
        <f>IFERROR(VLOOKUP(AV30,教师安排!$A:$Y,AV$2+1,FALSE),"")</f>
        <v/>
      </c>
      <c r="AW31" s="129" t="str">
        <f>IFERROR(VLOOKUP(AW30,教师安排!$A:$Y,AW$2+1,FALSE),"")</f>
        <v/>
      </c>
      <c r="AX31" s="129" t="str">
        <f>IFERROR(VLOOKUP(AX30,教师安排!$A:$Y,AX$2+1,FALSE),"")</f>
        <v/>
      </c>
      <c r="AY31" s="128">
        <f>IFERROR(VLOOKUP(AY30,教师安排!$A:$Y,AY$2+1,FALSE),"")</f>
        <v>0</v>
      </c>
      <c r="AZ31" s="128">
        <f>IFERROR(VLOOKUP(AZ30,教师安排!$A:$Y,AZ$2+1,FALSE),"")</f>
        <v>0</v>
      </c>
      <c r="BA31" s="128">
        <f>IFERROR(VLOOKUP(BA30,教师安排!$A:$Y,BA$2+1,FALSE),"")</f>
        <v>0</v>
      </c>
      <c r="BB31" s="128">
        <f>IFERROR(VLOOKUP(BB30,教师安排!$A:$Y,BB$2+1,FALSE),"")</f>
        <v>0</v>
      </c>
      <c r="BC31" s="128" t="str">
        <f>IFERROR(VLOOKUP(BC30,教师安排!$A:$Y,BC$2+1,FALSE),"")</f>
        <v>李振铎</v>
      </c>
      <c r="BD31" s="128" t="str">
        <f>IFERROR(VLOOKUP(BD30,教师安排!$A:$Y,BD$2+1,FALSE),"")</f>
        <v>蒋心言</v>
      </c>
      <c r="BE31" s="128" t="str">
        <f>IFERROR(VLOOKUP(BE30,教师安排!$A:$Y,BE$2+1,FALSE),"")</f>
        <v>马崇庆</v>
      </c>
      <c r="BF31" s="128" t="str">
        <f>IFERROR(VLOOKUP(BF30,教师安排!$A:$Y,BF$2+1,FALSE),"")</f>
        <v>宋开元</v>
      </c>
      <c r="BG31" s="128" t="str">
        <f>IFERROR(VLOOKUP(BG30,教师安排!$A:$Y,BG$2+1,FALSE),"")</f>
        <v>王灼</v>
      </c>
      <c r="BH31" s="128" t="str">
        <f>IFERROR(VLOOKUP(BH30,教师安排!$A:$Y,BH$2+1,FALSE),"")</f>
        <v>胡存想</v>
      </c>
      <c r="BI31" s="128">
        <f>IFERROR(VLOOKUP(BI30,教师安排!$A:$Y,BI$2+1,FALSE),"")</f>
        <v>0</v>
      </c>
      <c r="BJ31" s="128">
        <f>IFERROR(VLOOKUP(BJ30,教师安排!$A:$Y,BJ$2+1,FALSE),"")</f>
        <v>0</v>
      </c>
      <c r="BK31" s="128" t="str">
        <f>IFERROR(VLOOKUP(BK30,教师安排!$A:$Y,BK$2+1,FALSE),"")</f>
        <v>王菲</v>
      </c>
      <c r="BL31" s="128" t="str">
        <f>IFERROR(VLOOKUP(BL30,教师安排!$A:$Y,BL$2+1,FALSE),"")</f>
        <v>董艳华</v>
      </c>
      <c r="BM31" s="128" t="str">
        <f>IFERROR(VLOOKUP(BM30,教师安排!$A:$Y,BM$2+1,FALSE),"")</f>
        <v>孙显阳</v>
      </c>
      <c r="BN31" s="128" t="str">
        <f>IFERROR(VLOOKUP(BN30,教师安排!$A:$Y,BN$2+1,FALSE),"")</f>
        <v/>
      </c>
      <c r="BO31" s="128" t="str">
        <f>IFERROR(VLOOKUP(BO30,教师安排!$A:$Y,BO$2+1,FALSE),"")</f>
        <v/>
      </c>
      <c r="BP31" s="128" t="str">
        <f>IFERROR(VLOOKUP(BP30,教师安排!$A:$Y,BP$2+1,FALSE),"")</f>
        <v/>
      </c>
      <c r="BQ31" s="128" t="str">
        <f>IFERROR(VLOOKUP(BQ30,教师安排!$A:$Y,BQ$2+1,FALSE),"")</f>
        <v/>
      </c>
      <c r="BR31" s="128"/>
      <c r="BS31" s="128" t="str">
        <f>IFERROR(VLOOKUP(BS30,教师安排!$A:$Y,BS$2+1,FALSE),"")</f>
        <v/>
      </c>
      <c r="BT31" s="128" t="str">
        <f>IFERROR(VLOOKUP(BT30,教师安排!$A:$Y,BT$2+1,FALSE),"")</f>
        <v/>
      </c>
      <c r="BU31" s="128" t="str">
        <f>IFERROR(VLOOKUP(BU30,教师安排!$A:$Y,BU$2+1,FALSE),"")</f>
        <v/>
      </c>
      <c r="BV31" s="128" t="str">
        <f>IFERROR(VLOOKUP(BV30,教师安排!$A:$Y,BV$2+1,FALSE),"")</f>
        <v/>
      </c>
      <c r="BW31" s="126" t="str">
        <f>IFERROR(VLOOKUP(BW30,教师安排!$A:$Y,BW$2+1,FALSE),"")</f>
        <v>李雯</v>
      </c>
      <c r="BX31" s="126" t="str">
        <f>IFERROR(VLOOKUP(BX30,教师安排!$A:$Y,BX$2+1,FALSE),"")</f>
        <v>张雨晴</v>
      </c>
      <c r="BY31" s="126" t="str">
        <f>IFERROR(VLOOKUP(BY30,教师安排!$A:$Y,BY$2+1,FALSE),"")</f>
        <v>姚来朋</v>
      </c>
      <c r="BZ31" s="126" t="str">
        <f>IFERROR(VLOOKUP(BZ30,教师安排!$A:$Y,BZ$2+1,FALSE),"")</f>
        <v>侯淑贤</v>
      </c>
      <c r="CA31" s="126">
        <f>IFERROR(VLOOKUP(CA30,教师安排!$A:$Y,CA$2+1,FALSE),"")</f>
        <v>0</v>
      </c>
      <c r="CB31" s="126">
        <f>IFERROR(VLOOKUP(CB30,教师安排!$A:$Y,CB$2+1,FALSE),"")</f>
        <v>0</v>
      </c>
      <c r="CC31" s="126">
        <f>IFERROR(VLOOKUP(CC30,教师安排!$A:$Y,CC$2+1,FALSE),"")</f>
        <v>0</v>
      </c>
      <c r="CD31" s="126">
        <f>IFERROR(VLOOKUP(CD30,教师安排!$A:$Y,CD$2+1,FALSE),"")</f>
        <v>0</v>
      </c>
      <c r="CE31" s="126">
        <f>IFERROR(VLOOKUP(CE30,教师安排!$A:$Y,CE$2+1,FALSE),"")</f>
        <v>0</v>
      </c>
      <c r="CF31" s="126">
        <f>IFERROR(VLOOKUP(CF30,教师安排!$A:$Y,CF$2+1,FALSE),"")</f>
        <v>0</v>
      </c>
      <c r="CG31" s="126">
        <f>IFERROR(VLOOKUP(CG30,教师安排!$A:$Y,CG$2+1,FALSE),"")</f>
        <v>0</v>
      </c>
      <c r="CH31" s="126">
        <f>IFERROR(VLOOKUP(CH30,教师安排!$A:$Y,CH$2+1,FALSE),"")</f>
        <v>0</v>
      </c>
      <c r="CI31" s="126">
        <f>IFERROR(VLOOKUP(CI30,教师安排!$A:$Y,CI$2+1,FALSE),"")</f>
        <v>0</v>
      </c>
      <c r="CJ31" s="126">
        <f>IFERROR(VLOOKUP(CJ30,教师安排!$A:$Y,CJ$2+1,FALSE),"")</f>
        <v>0</v>
      </c>
      <c r="CK31" s="126">
        <f>IFERROR(VLOOKUP(CK30,教师安排!$A:$Y,CK$2+1,FALSE),"")</f>
        <v>0</v>
      </c>
      <c r="CL31" s="126" t="str">
        <f>IFERROR(VLOOKUP(CL30,教师安排!$A:$Y,CL$2+1,FALSE),"")</f>
        <v/>
      </c>
      <c r="CM31" s="126" t="str">
        <f>IFERROR(VLOOKUP(CM30,教师安排!$A:$Y,CM$2+1,FALSE),"")</f>
        <v/>
      </c>
      <c r="CN31" s="126" t="str">
        <f>IFERROR(VLOOKUP(CN30,教师安排!$A:$Y,CN$2+1,FALSE),"")</f>
        <v/>
      </c>
      <c r="CO31" s="126" t="str">
        <f>IFERROR(VLOOKUP(CO30,教师安排!$A:$Y,CO$2+1,FALSE),"")</f>
        <v/>
      </c>
      <c r="CP31" s="126" t="str">
        <f>IFERROR(VLOOKUP(CP30,教师安排!$A:$Y,CP$2+1,FALSE),"")</f>
        <v/>
      </c>
      <c r="CQ31" s="126"/>
      <c r="CR31" s="126" t="str">
        <f>IFERROR(VLOOKUP(CR30,教师安排!$A:$Y,CR$2+1,FALSE),"")</f>
        <v/>
      </c>
      <c r="CS31" s="126" t="str">
        <f>IFERROR(VLOOKUP(CS30,教师安排!$A:$Y,CS$2+1,FALSE),"")</f>
        <v/>
      </c>
      <c r="CT31" s="126" t="str">
        <f>IFERROR(VLOOKUP(CT30,教师安排!$A:$Y,CT$2+1,FALSE),"")</f>
        <v/>
      </c>
      <c r="CU31" s="125" t="str">
        <f>IFERROR(VLOOKUP(CU30,教师安排!$A:$Y,CU$2+1,FALSE),"")</f>
        <v>杨彬</v>
      </c>
      <c r="CV31" s="125" t="str">
        <f>IFERROR(VLOOKUP(CV30,教师安排!$A:$Y,CV$2+1,FALSE),"")</f>
        <v>姚来朋</v>
      </c>
      <c r="CW31" s="125" t="str">
        <f>IFERROR(VLOOKUP(CW30,教师安排!$A:$Y,CW$2+1,FALSE),"")</f>
        <v>宋开元</v>
      </c>
      <c r="CX31" s="125" t="str">
        <f>IFERROR(VLOOKUP(CX30,教师安排!$A:$Y,CX$2+1,FALSE),"")</f>
        <v>侯淑贤</v>
      </c>
      <c r="CY31" s="125" t="str">
        <f>IFERROR(VLOOKUP(CY30,教师安排!$A:$Y,CY$2+1,FALSE),"")</f>
        <v>张冰雪</v>
      </c>
      <c r="CZ31" s="125" t="str">
        <f>IFERROR(VLOOKUP(CZ30,教师安排!$A:$Y,CZ$2+1,FALSE),"")</f>
        <v>李振铎</v>
      </c>
      <c r="DA31" s="125" t="str">
        <f>IFERROR(VLOOKUP(DA30,教师安排!$A:$Y,DA$2+1,FALSE),"")</f>
        <v>马崇庆</v>
      </c>
      <c r="DB31" s="125" t="str">
        <f>IFERROR(VLOOKUP(DB30,教师安排!$A:$Y,DB$2+1,FALSE),"")</f>
        <v>高文凤</v>
      </c>
      <c r="DC31" s="125" t="str">
        <f>IFERROR(VLOOKUP(DC30,教师安排!$A:$Y,DC$2+1,FALSE),"")</f>
        <v>刘腾</v>
      </c>
      <c r="DD31" s="125" t="str">
        <f>IFERROR(VLOOKUP(DD30,教师安排!$A:$Y,DD$2+1,FALSE),"")</f>
        <v>王菲</v>
      </c>
      <c r="DE31" s="125">
        <f>IFERROR(VLOOKUP(DE30,教师安排!$A:$Y,DE$2+1,FALSE),"")</f>
        <v>0</v>
      </c>
      <c r="DF31" s="125">
        <f>IFERROR(VLOOKUP(DF30,教师安排!$A:$Y,DF$2+1,FALSE),"")</f>
        <v>0</v>
      </c>
      <c r="DG31" s="125" t="str">
        <f>IFERROR(VLOOKUP(DG30,教师安排!$A:$Y,DG$2+1,FALSE),"")</f>
        <v>王硕</v>
      </c>
      <c r="DH31" s="125" t="str">
        <f>IFERROR(VLOOKUP(DH30,教师安排!$A:$Y,DH$2+1,FALSE),"")</f>
        <v>董艳华</v>
      </c>
      <c r="DI31" s="125" t="str">
        <f>IFERROR(VLOOKUP(DI30,教师安排!$A:$Y,DI$2+1,FALSE),"")</f>
        <v>孙显阳</v>
      </c>
      <c r="DJ31" s="125" t="str">
        <f>IFERROR(VLOOKUP(DJ30,教师安排!$A:$Y,DJ$2+1,FALSE),"")</f>
        <v/>
      </c>
      <c r="DK31" s="125" t="str">
        <f>IFERROR(VLOOKUP(DK30,教师安排!$A:$Y,DK$2+1,FALSE),"")</f>
        <v/>
      </c>
      <c r="DL31" s="125" t="str">
        <f>IFERROR(VLOOKUP(DL30,教师安排!$A:$Y,DL$2+1,FALSE),"")</f>
        <v/>
      </c>
      <c r="DM31" s="125" t="str">
        <f>IFERROR(VLOOKUP(DM30,教师安排!$A:$Y,DM$2+1,FALSE),"")</f>
        <v/>
      </c>
      <c r="DN31" s="125"/>
      <c r="DO31" s="125" t="str">
        <f>IFERROR(VLOOKUP(DO30,教师安排!$A:$Y,DO$2+1,FALSE),"")</f>
        <v/>
      </c>
      <c r="DP31" s="125" t="str">
        <f>IFERROR(VLOOKUP(DP30,教师安排!$A:$Y,DP$2+1,FALSE),"")</f>
        <v/>
      </c>
      <c r="DQ31" s="125" t="str">
        <f>IFERROR(VLOOKUP(DQ30,教师安排!$A:$Y,DQ$2+1,FALSE),"")</f>
        <v/>
      </c>
      <c r="DR31" s="125" t="str">
        <f>IFERROR(VLOOKUP(DR30,教师安排!$A:$Y,DR$2+1,FALSE),"")</f>
        <v/>
      </c>
      <c r="DS31" s="124" t="str">
        <f>IFERROR(VLOOKUP(DS30,教师安排!$A:$Y,DS$2+1,FALSE),"")</f>
        <v>周兴玲</v>
      </c>
      <c r="DT31" s="124" t="str">
        <f>IFERROR(VLOOKUP(DT30,教师安排!$A:$Y,DT$2+1,FALSE),"")</f>
        <v>田凤美</v>
      </c>
      <c r="DU31" s="124" t="str">
        <f>IFERROR(VLOOKUP(DU30,教师安排!$A:$Y,DU$2+1,FALSE),"")</f>
        <v>姚来朋</v>
      </c>
      <c r="DV31" s="124" t="str">
        <f>IFERROR(VLOOKUP(DV30,教师安排!$A:$Y,DV$2+1,FALSE),"")</f>
        <v>李会玲</v>
      </c>
      <c r="DW31" s="124" t="str">
        <f>IFERROR(VLOOKUP(DW30,教师安排!$A:$Y,DW$2+1,FALSE),"")</f>
        <v>张冰雪</v>
      </c>
      <c r="DX31" s="124" t="str">
        <f>IFERROR(VLOOKUP(DX30,教师安排!$A:$Y,DX$2+1,FALSE),"")</f>
        <v>王露</v>
      </c>
      <c r="DY31" s="124" t="str">
        <f>IFERROR(VLOOKUP(DY30,教师安排!$A:$Y,DY$2+1,FALSE),"")</f>
        <v>马崇庆</v>
      </c>
      <c r="DZ31" s="124" t="str">
        <f>IFERROR(VLOOKUP(DZ30,教师安排!$A:$Y,DZ$2+1,FALSE),"")</f>
        <v>路睿</v>
      </c>
      <c r="EA31" s="124" t="str">
        <f>IFERROR(VLOOKUP(EA30,教师安排!$A:$Y,EA$2+1,FALSE),"")</f>
        <v>王硕</v>
      </c>
      <c r="EB31" s="124" t="str">
        <f>IFERROR(VLOOKUP(EB30,教师安排!$A:$Y,EB$2+1,FALSE),"")</f>
        <v>孙娜</v>
      </c>
      <c r="EC31" s="124">
        <f>IFERROR(VLOOKUP(EC30,教师安排!$A:$Y,EC$2+1,FALSE),"")</f>
        <v>0</v>
      </c>
      <c r="ED31" s="124">
        <f>IFERROR(VLOOKUP(ED30,教师安排!$A:$Y,ED$2+1,FALSE),"")</f>
        <v>0</v>
      </c>
      <c r="EE31" s="124" t="str">
        <f>IFERROR(VLOOKUP(EE30,教师安排!$A:$Y,EE$2+1,FALSE),"")</f>
        <v>王菲</v>
      </c>
      <c r="EF31" s="124" t="str">
        <f>IFERROR(VLOOKUP(EF30,教师安排!$A:$Y,EF$2+1,FALSE),"")</f>
        <v>姜媛媛</v>
      </c>
      <c r="EG31" s="124" t="str">
        <f>IFERROR(VLOOKUP(EG30,教师安排!$A:$Y,EG$2+1,FALSE),"")</f>
        <v>高文凤</v>
      </c>
      <c r="EH31" s="124" t="str">
        <f>IFERROR(VLOOKUP(EH30,教师安排!$A:$Y,EH$2+1,FALSE),"")</f>
        <v/>
      </c>
      <c r="EI31" s="124" t="str">
        <f>IFERROR(VLOOKUP(EI30,教师安排!$A:$Y,EI$2+1,FALSE),"")</f>
        <v/>
      </c>
      <c r="EJ31" s="124" t="str">
        <f>IFERROR(VLOOKUP(EJ30,教师安排!$A:$Y,EJ$2+1,FALSE),"")</f>
        <v/>
      </c>
      <c r="EK31" s="124" t="str">
        <f>IFERROR(VLOOKUP(EK30,教师安排!$A:$Y,EK$2+1,FALSE),"")</f>
        <v/>
      </c>
      <c r="EL31" s="124"/>
      <c r="EM31" s="124" t="str">
        <f>IFERROR(VLOOKUP(EM30,教师安排!$A:$Y,EM$2+1,FALSE),"")</f>
        <v/>
      </c>
      <c r="EN31" s="124" t="str">
        <f>IFERROR(VLOOKUP(EN30,教师安排!$A:$Y,EN$2+1,FALSE),"")</f>
        <v/>
      </c>
      <c r="EO31" s="124" t="str">
        <f>IFERROR(VLOOKUP(EO30,教师安排!$A:$Y,EO$2+1,FALSE),"")</f>
        <v/>
      </c>
      <c r="EP31" s="124" t="str">
        <f>IFERROR(VLOOKUP(EP30,教师安排!$A:$Y,EP$2+1,FALSE),"")</f>
        <v/>
      </c>
      <c r="EQ31" s="123">
        <f>IFERROR(VLOOKUP(EQ30,教师安排!$A:$Y,EQ$2+1,FALSE),"")</f>
        <v>0</v>
      </c>
      <c r="ER31" s="123">
        <f>IFERROR(VLOOKUP(ER30,教师安排!$A:$Y,ER$2+1,FALSE),"")</f>
        <v>0</v>
      </c>
      <c r="ES31" s="123">
        <f>IFERROR(VLOOKUP(ES30,教师安排!$A:$Y,ES$2+1,FALSE),"")</f>
        <v>0</v>
      </c>
      <c r="ET31" s="123">
        <f>IFERROR(VLOOKUP(ET30,教师安排!$A:$Y,ET$2+1,FALSE),"")</f>
        <v>0</v>
      </c>
      <c r="EU31" s="123">
        <f>IFERROR(VLOOKUP(EU30,教师安排!$A:$Y,EU$2+1,FALSE),"")</f>
        <v>0</v>
      </c>
      <c r="EV31" s="123">
        <f>IFERROR(VLOOKUP(EV30,教师安排!$A:$Y,EV$2+1,FALSE),"")</f>
        <v>0</v>
      </c>
      <c r="EW31" s="123">
        <f>IFERROR(VLOOKUP(EW30,教师安排!$A:$Y,EW$2+1,FALSE),"")</f>
        <v>0</v>
      </c>
      <c r="EX31" s="123">
        <f>IFERROR(VLOOKUP(EX30,教师安排!$A:$Y,EX$2+1,FALSE),"")</f>
        <v>0</v>
      </c>
      <c r="EY31" s="123">
        <f>IFERROR(VLOOKUP(EY30,教师安排!$A:$Y,EY$2+1,FALSE),"")</f>
        <v>0</v>
      </c>
      <c r="EZ31" s="123">
        <f>IFERROR(VLOOKUP(EZ30,教师安排!$A:$Y,EZ$2+1,FALSE),"")</f>
        <v>0</v>
      </c>
      <c r="FA31" s="123">
        <f>IFERROR(VLOOKUP(FA30,教师安排!$A:$Y,FA$2+1,FALSE),"")</f>
        <v>0</v>
      </c>
      <c r="FB31" s="123">
        <f>IFERROR(VLOOKUP(FB30,教师安排!$A:$Y,FB$2+1,FALSE),"")</f>
        <v>0</v>
      </c>
      <c r="FC31" s="123">
        <f>IFERROR(VLOOKUP(FC30,教师安排!$A:$Y,FC$2+1,FALSE),"")</f>
        <v>0</v>
      </c>
      <c r="FD31" s="123">
        <f>IFERROR(VLOOKUP(FD30,教师安排!$A:$Y,FD$2+1,FALSE),"")</f>
        <v>0</v>
      </c>
      <c r="FE31" s="123">
        <f>IFERROR(VLOOKUP(FE30,教师安排!$A:$Y,FE$2+1,FALSE),"")</f>
        <v>0</v>
      </c>
      <c r="FF31" s="123" t="str">
        <f>IFERROR(VLOOKUP(FF30,教师安排!$A:$Y,FF$2+1,FALSE),"")</f>
        <v/>
      </c>
      <c r="FG31" s="123" t="str">
        <f>IFERROR(VLOOKUP(FG30,教师安排!$A:$Y,FG$2+1,FALSE),"")</f>
        <v/>
      </c>
      <c r="FH31" s="123" t="str">
        <f>IFERROR(VLOOKUP(FH30,教师安排!$A:$Y,FH$2+1,FALSE),"")</f>
        <v/>
      </c>
      <c r="FI31" s="123" t="str">
        <f>IFERROR(VLOOKUP(FI30,教师安排!$A:$Y,FI$2+1,FALSE),"")</f>
        <v/>
      </c>
      <c r="FJ31" s="123"/>
      <c r="FK31" s="123" t="str">
        <f>IFERROR(VLOOKUP(FK30,教师安排!$A:$Y,FK$2+1,FALSE),"")</f>
        <v/>
      </c>
      <c r="FL31" s="123" t="str">
        <f>IFERROR(VLOOKUP(FL30,教师安排!$A:$Y,FL$2+1,FALSE),"")</f>
        <v/>
      </c>
      <c r="FM31" s="123" t="str">
        <f>IFERROR(VLOOKUP(FM30,教师安排!$A:$Y,FM$2+1,FALSE),"")</f>
        <v/>
      </c>
      <c r="FN31" s="123" t="str">
        <f>IFERROR(VLOOKUP(FN30,教师安排!$A:$Y,FN$2+1,FALSE),"")</f>
        <v/>
      </c>
      <c r="FO31" s="126" t="str">
        <f>IFERROR(VLOOKUP(FO30,教师安排!$A:$Y,FO$2+1,FALSE),"")</f>
        <v>康波</v>
      </c>
      <c r="FP31" s="126" t="str">
        <f>IFERROR(VLOOKUP(FP30,教师安排!$A:$Y,FP$2+1,FALSE),"")</f>
        <v>李会玲</v>
      </c>
      <c r="FQ31" s="126" t="str">
        <f>IFERROR(VLOOKUP(FQ30,教师安排!$A:$Y,FQ$2+1,FALSE),"")</f>
        <v>周兴玲</v>
      </c>
      <c r="FR31" s="126" t="str">
        <f>IFERROR(VLOOKUP(FR30,教师安排!$A:$Y,FR$2+1,FALSE),"")</f>
        <v>史振塞</v>
      </c>
      <c r="FS31" s="126" t="str">
        <f>IFERROR(VLOOKUP(FS30,教师安排!$A:$Y,FS$2+1,FALSE),"")</f>
        <v>刘腾</v>
      </c>
      <c r="FT31" s="126" t="str">
        <f>IFERROR(VLOOKUP(FT30,教师安排!$A:$Y,FT$2+1,FALSE),"")</f>
        <v>翟淑玮</v>
      </c>
      <c r="FU31" s="126" t="str">
        <f>IFERROR(VLOOKUP(FU30,教师安排!$A:$Y,FU$2+1,FALSE),"")</f>
        <v>马崇庆</v>
      </c>
      <c r="FV31" s="126" t="str">
        <f>IFERROR(VLOOKUP(FV30,教师安排!$A:$Y,FV$2+1,FALSE),"")</f>
        <v>孙秋杰</v>
      </c>
      <c r="FW31" s="126" t="str">
        <f>IFERROR(VLOOKUP(FW30,教师安排!$A:$Y,FW$2+1,FALSE),"")</f>
        <v>孙显阳</v>
      </c>
      <c r="FX31" s="126" t="str">
        <f>IFERROR(VLOOKUP(FX30,教师安排!$A:$Y,FX$2+1,FALSE),"")</f>
        <v>孙娜</v>
      </c>
      <c r="FY31" s="126">
        <f>IFERROR(VLOOKUP(FY30,教师安排!$A:$Y,FY$2+1,FALSE),"")</f>
        <v>0</v>
      </c>
      <c r="FZ31" s="126">
        <f>IFERROR(VLOOKUP(FZ30,教师安排!$A:$Y,FZ$2+1,FALSE),"")</f>
        <v>0</v>
      </c>
      <c r="GA31" s="126" t="str">
        <f>IFERROR(VLOOKUP(GA30,教师安排!$A:$Y,GA$2+1,FALSE),"")</f>
        <v>王硕</v>
      </c>
      <c r="GB31" s="126" t="str">
        <f>IFERROR(VLOOKUP(GB30,教师安排!$A:$Y,GB$2+1,FALSE),"")</f>
        <v>孙锦锦</v>
      </c>
      <c r="GC31" s="126" t="str">
        <f>IFERROR(VLOOKUP(GC30,教师安排!$A:$Y,GC$2+1,FALSE),"")</f>
        <v>路睿</v>
      </c>
      <c r="GD31" s="126" t="str">
        <f>IFERROR(VLOOKUP(GD30,教师安排!$A:$Y,GD$2+1,FALSE),"")</f>
        <v/>
      </c>
      <c r="GE31" s="126" t="str">
        <f>IFERROR(VLOOKUP(GE30,教师安排!$A:$Y,GE$2+1,FALSE),"")</f>
        <v/>
      </c>
      <c r="GF31" s="126" t="str">
        <f>IFERROR(VLOOKUP(GF30,教师安排!$A:$Y,GF$2+1,FALSE),"")</f>
        <v/>
      </c>
      <c r="GG31" s="126" t="str">
        <f>IFERROR(VLOOKUP(GG30,教师安排!$A:$Y,GG$2+1,FALSE),"")</f>
        <v/>
      </c>
      <c r="GH31" s="126"/>
      <c r="GI31" s="126" t="str">
        <f>IFERROR(VLOOKUP(GI30,教师安排!$A:$Y,GI$2+1,FALSE),"")</f>
        <v/>
      </c>
      <c r="GJ31" s="126" t="str">
        <f>IFERROR(VLOOKUP(GJ30,教师安排!$A:$Y,GJ$2+1,FALSE),"")</f>
        <v/>
      </c>
      <c r="GK31" s="126" t="str">
        <f>IFERROR(VLOOKUP(GK30,教师安排!$A:$Y,GK$2+1,FALSE),"")</f>
        <v/>
      </c>
      <c r="GL31" s="126" t="str">
        <f>IFERROR(VLOOKUP(GL30,教师安排!$A:$Y,GL$2+1,FALSE),"")</f>
        <v/>
      </c>
      <c r="GM31" s="125" t="str">
        <f>IFERROR(VLOOKUP(GM30,教师安排!$A:$Y,GM$2+1,FALSE),"")</f>
        <v>杨彬</v>
      </c>
      <c r="GN31" s="125" t="str">
        <f>IFERROR(VLOOKUP(GN30,教师安排!$A:$Y,GN$2+1,FALSE),"")</f>
        <v>姚来朋</v>
      </c>
      <c r="GO31" s="125" t="str">
        <f>IFERROR(VLOOKUP(GO30,教师安排!$A:$Y,GO$2+1,FALSE),"")</f>
        <v>李会玲</v>
      </c>
      <c r="GP31" s="125" t="str">
        <f>IFERROR(VLOOKUP(GP30,教师安排!$A:$Y,GP$2+1,FALSE),"")</f>
        <v>侯淑贤</v>
      </c>
      <c r="GQ31" s="125" t="str">
        <f>IFERROR(VLOOKUP(GQ30,教师安排!$A:$Y,GQ$2+1,FALSE),"")</f>
        <v>王灼</v>
      </c>
      <c r="GR31" s="125" t="str">
        <f>IFERROR(VLOOKUP(GR30,教师安排!$A:$Y,GR$2+1,FALSE),"")</f>
        <v>李振铎</v>
      </c>
      <c r="GS31" s="125" t="str">
        <f>IFERROR(VLOOKUP(GS30,教师安排!$A:$Y,GS$2+1,FALSE),"")</f>
        <v>孙显阳</v>
      </c>
      <c r="GT31" s="125" t="str">
        <f>IFERROR(VLOOKUP(GT30,教师安排!$A:$Y,GT$2+1,FALSE),"")</f>
        <v>孙秋杰</v>
      </c>
      <c r="GU31" s="125" t="str">
        <f>IFERROR(VLOOKUP(GU30,教师安排!$A:$Y,GU$2+1,FALSE),"")</f>
        <v>田凤美</v>
      </c>
      <c r="GV31" s="125" t="str">
        <f>IFERROR(VLOOKUP(GV30,教师安排!$A:$Y,GV$2+1,FALSE),"")</f>
        <v>董艳华</v>
      </c>
      <c r="GW31" s="125">
        <f>IFERROR(VLOOKUP(GW30,教师安排!$A:$Y,GW$2+1,FALSE),"")</f>
        <v>0</v>
      </c>
      <c r="GX31" s="125">
        <f>IFERROR(VLOOKUP(GX30,教师安排!$A:$Y,GX$2+1,FALSE),"")</f>
        <v>0</v>
      </c>
      <c r="GY31" s="125" t="str">
        <f>IFERROR(VLOOKUP(GY30,教师安排!$A:$Y,GY$2+1,FALSE),"")</f>
        <v>范林林</v>
      </c>
      <c r="GZ31" s="125" t="str">
        <f>IFERROR(VLOOKUP(GZ30,教师安排!$A:$Y,GZ$2+1,FALSE),"")</f>
        <v>张喆</v>
      </c>
      <c r="HA31" s="125" t="str">
        <f>IFERROR(VLOOKUP(HA30,教师安排!$A:$Y,HA$2+1,FALSE),"")</f>
        <v>夏文杰</v>
      </c>
      <c r="HB31" s="125" t="str">
        <f>IFERROR(VLOOKUP(HB30,教师安排!$A:$Y,HB$2+1,FALSE),"")</f>
        <v/>
      </c>
      <c r="HC31" s="125" t="str">
        <f>IFERROR(VLOOKUP(HC30,教师安排!$A:$Y,HC$2+1,FALSE),"")</f>
        <v/>
      </c>
      <c r="HD31" s="125" t="str">
        <f>IFERROR(VLOOKUP(HD30,教师安排!$A:$Y,HD$2+1,FALSE),"")</f>
        <v/>
      </c>
      <c r="HE31" s="125" t="str">
        <f>IFERROR(VLOOKUP(HE30,教师安排!$A:$Y,HE$2+1,FALSE),"")</f>
        <v/>
      </c>
      <c r="HF31" s="125"/>
      <c r="HG31" s="125" t="str">
        <f>IFERROR(VLOOKUP(HG30,教师安排!$A:$Y,HG$2+1,FALSE),"")</f>
        <v/>
      </c>
      <c r="HH31" s="125" t="str">
        <f>IFERROR(VLOOKUP(HH30,教师安排!$A:$Y,HH$2+1,FALSE),"")</f>
        <v/>
      </c>
      <c r="HI31" s="125" t="str">
        <f>IFERROR(VLOOKUP(HI30,教师安排!$A:$Y,HI$2+1,FALSE),"")</f>
        <v/>
      </c>
      <c r="HJ31" s="125" t="str">
        <f>IFERROR(VLOOKUP(HJ30,教师安排!$A:$Y,HJ$2+1,FALSE),"")</f>
        <v/>
      </c>
      <c r="HK31" s="126">
        <f>IFERROR(VLOOKUP(HK30,教师安排!$A:$Y,HK$2+1,FALSE),"")</f>
        <v>0</v>
      </c>
      <c r="HL31" s="126">
        <f>IFERROR(VLOOKUP(HL30,教师安排!$A:$Y,HL$2+1,FALSE),"")</f>
        <v>0</v>
      </c>
      <c r="HM31" s="126">
        <f>IFERROR(VLOOKUP(HM30,教师安排!$A:$Y,HM$2+1,FALSE),"")</f>
        <v>0</v>
      </c>
      <c r="HN31" s="126">
        <f>IFERROR(VLOOKUP(HN30,教师安排!$A:$Y,HN$2+1,FALSE),"")</f>
        <v>0</v>
      </c>
      <c r="HO31" s="126" t="str">
        <f>IFERROR(VLOOKUP(HO30,教师安排!$A:$Y,HO$2+1,FALSE),"")</f>
        <v>李振铎</v>
      </c>
      <c r="HP31" s="126" t="str">
        <f>IFERROR(VLOOKUP(HP30,教师安排!$A:$Y,HP$2+1,FALSE),"")</f>
        <v>蒋心言</v>
      </c>
      <c r="HQ31" s="126" t="str">
        <f>IFERROR(VLOOKUP(HQ30,教师安排!$A:$Y,HQ$2+1,FALSE),"")</f>
        <v>马崇庆</v>
      </c>
      <c r="HR31" s="126" t="str">
        <f>IFERROR(VLOOKUP(HR30,教师安排!$A:$Y,HR$2+1,FALSE),"")</f>
        <v>宋开元</v>
      </c>
      <c r="HS31" s="126" t="str">
        <f>IFERROR(VLOOKUP(HS30,教师安排!$A:$Y,HS$2+1,FALSE),"")</f>
        <v>王灼</v>
      </c>
      <c r="HT31" s="126" t="str">
        <f>IFERROR(VLOOKUP(HT30,教师安排!$A:$Y,HT$2+1,FALSE),"")</f>
        <v>胡存想</v>
      </c>
      <c r="HU31" s="126">
        <f>IFERROR(VLOOKUP(HU30,教师安排!$A:$Y,HU$2+1,FALSE),"")</f>
        <v>0</v>
      </c>
      <c r="HV31" s="126">
        <f>IFERROR(VLOOKUP(HV30,教师安排!$A:$Y,HV$2+1,FALSE),"")</f>
        <v>0</v>
      </c>
      <c r="HW31" s="126" t="str">
        <f>IFERROR(VLOOKUP(HW30,教师安排!$A:$Y,HW$2+1,FALSE),"")</f>
        <v>王菲</v>
      </c>
      <c r="HX31" s="126" t="str">
        <f>IFERROR(VLOOKUP(HX30,教师安排!$A:$Y,HX$2+1,FALSE),"")</f>
        <v>董艳华</v>
      </c>
      <c r="HY31" s="126" t="str">
        <f>IFERROR(VLOOKUP(HY30,教师安排!$A:$Y,HY$2+1,FALSE),"")</f>
        <v>孙显阳</v>
      </c>
      <c r="HZ31" s="126" t="str">
        <f>IFERROR(VLOOKUP(HZ30,教师安排!$A:$Y,HZ$2+1,FALSE),"")</f>
        <v/>
      </c>
      <c r="IA31" s="126" t="str">
        <f>IFERROR(VLOOKUP(IA30,教师安排!$A:$Y,IA$2+1,FALSE),"")</f>
        <v/>
      </c>
      <c r="IB31" s="126" t="str">
        <f>IFERROR(VLOOKUP(IB30,教师安排!$A:$Y,IB$2+1,FALSE),"")</f>
        <v/>
      </c>
      <c r="IC31" s="126" t="str">
        <f>IFERROR(VLOOKUP(IC30,教师安排!$A:$Y,IC$2+1,FALSE),"")</f>
        <v/>
      </c>
      <c r="ID31" s="126"/>
      <c r="IE31" s="126" t="str">
        <f>IFERROR(VLOOKUP(IE30,教师安排!$A:$Y,IE$2+1,FALSE),"")</f>
        <v/>
      </c>
      <c r="IF31" s="126" t="str">
        <f>IFERROR(VLOOKUP(IF30,教师安排!$A:$Y,IF$2+1,FALSE),"")</f>
        <v/>
      </c>
      <c r="IG31" s="126" t="str">
        <f>IFERROR(VLOOKUP(IG30,教师安排!$A:$Y,IG$2+1,FALSE),"")</f>
        <v/>
      </c>
      <c r="IH31" s="126" t="str">
        <f>IFERROR(VLOOKUP(IH30,教师安排!$A:$Y,IH$2+1,FALSE),"")</f>
        <v/>
      </c>
      <c r="II31" s="125" t="str">
        <f>IFERROR(VLOOKUP(II30,教师安排!$A:$Y,II$2+1,FALSE),"")</f>
        <v>李雯</v>
      </c>
      <c r="IJ31" s="125" t="str">
        <f>IFERROR(VLOOKUP(IJ30,教师安排!$A:$Y,IJ$2+1,FALSE),"")</f>
        <v>张雨晴</v>
      </c>
      <c r="IK31" s="125" t="str">
        <f>IFERROR(VLOOKUP(IK30,教师安排!$A:$Y,IK$2+1,FALSE),"")</f>
        <v>姚来朋</v>
      </c>
      <c r="IL31" s="125" t="str">
        <f>IFERROR(VLOOKUP(IL30,教师安排!$A:$Y,IL$2+1,FALSE),"")</f>
        <v>侯淑贤</v>
      </c>
      <c r="IM31" s="125">
        <f>IFERROR(VLOOKUP(IM30,教师安排!$A:$Y,IM$2+1,FALSE),"")</f>
        <v>0</v>
      </c>
      <c r="IN31" s="125">
        <f>IFERROR(VLOOKUP(IN30,教师安排!$A:$Y,IN$2+1,FALSE),"")</f>
        <v>0</v>
      </c>
      <c r="IO31" s="125">
        <f>IFERROR(VLOOKUP(IO30,教师安排!$A:$Y,IO$2+1,FALSE),"")</f>
        <v>0</v>
      </c>
      <c r="IP31" s="125">
        <f>IFERROR(VLOOKUP(IP30,教师安排!$A:$Y,IP$2+1,FALSE),"")</f>
        <v>0</v>
      </c>
      <c r="IQ31" s="125">
        <f>IFERROR(VLOOKUP(IQ30,教师安排!$A:$Y,IQ$2+1,FALSE),"")</f>
        <v>0</v>
      </c>
      <c r="IR31" s="125">
        <f>IFERROR(VLOOKUP(IR30,教师安排!$A:$Y,IR$2+1,FALSE),"")</f>
        <v>0</v>
      </c>
      <c r="IS31" s="125">
        <f>IFERROR(VLOOKUP(IS30,教师安排!$A:$Y,IS$2+1,FALSE),"")</f>
        <v>0</v>
      </c>
      <c r="IT31" s="125">
        <f>IFERROR(VLOOKUP(IT30,教师安排!$A:$Y,IT$2+1,FALSE),"")</f>
        <v>0</v>
      </c>
      <c r="IU31" s="125">
        <f>IFERROR(VLOOKUP(IU30,教师安排!$A:$Y,IU$2+1,FALSE),"")</f>
        <v>0</v>
      </c>
      <c r="IV31" s="125">
        <f>IFERROR(VLOOKUP(IV30,教师安排!$A:$Y,IV$2+1,FALSE),"")</f>
        <v>0</v>
      </c>
      <c r="IW31" s="125">
        <f>IFERROR(VLOOKUP(IW30,教师安排!$A:$Y,IW$2+1,FALSE),"")</f>
        <v>0</v>
      </c>
      <c r="IX31" s="125" t="str">
        <f>IFERROR(VLOOKUP(IX30,教师安排!$A:$Y,IX$2+1,FALSE),"")</f>
        <v/>
      </c>
      <c r="IY31" s="125" t="str">
        <f>IFERROR(VLOOKUP(IY30,教师安排!$A:$Y,IY$2+1,FALSE),"")</f>
        <v/>
      </c>
      <c r="IZ31" s="125" t="str">
        <f>IFERROR(VLOOKUP(IZ30,教师安排!$A:$Y,IZ$2+1,FALSE),"")</f>
        <v/>
      </c>
      <c r="JA31" s="125" t="str">
        <f>IFERROR(VLOOKUP(JA30,教师安排!$A:$Y,JA$2+1,FALSE),"")</f>
        <v/>
      </c>
      <c r="JB31" s="125"/>
      <c r="JC31" s="125" t="str">
        <f>IFERROR(VLOOKUP(JC30,教师安排!$A:$Y,JC$2+1,FALSE),"")</f>
        <v/>
      </c>
      <c r="JD31" s="125" t="str">
        <f>IFERROR(VLOOKUP(JD30,教师安排!$A:$Y,JD$2+1,FALSE),"")</f>
        <v/>
      </c>
      <c r="JE31" s="125" t="str">
        <f>IFERROR(VLOOKUP(JE30,教师安排!$A:$Y,JE$2+1,FALSE),"")</f>
        <v/>
      </c>
      <c r="JF31" s="125" t="str">
        <f>IFERROR(VLOOKUP(JF30,教师安排!$A:$Y,JF$2+1,FALSE),"")</f>
        <v/>
      </c>
      <c r="JG31" s="126" t="str">
        <f>IFERROR(VLOOKUP(JG30,教师安排!$A:$Y,JG$2+1,FALSE),"")</f>
        <v>杨彬</v>
      </c>
      <c r="JH31" s="126" t="str">
        <f>IFERROR(VLOOKUP(JH30,教师安排!$A:$Y,JH$2+1,FALSE),"")</f>
        <v>姚来朋</v>
      </c>
      <c r="JI31" s="126" t="str">
        <f>IFERROR(VLOOKUP(JI30,教师安排!$A:$Y,JI$2+1,FALSE),"")</f>
        <v>宋开元</v>
      </c>
      <c r="JJ31" s="126" t="str">
        <f>IFERROR(VLOOKUP(JJ30,教师安排!$A:$Y,JJ$2+1,FALSE),"")</f>
        <v>侯淑贤</v>
      </c>
      <c r="JK31" s="126" t="str">
        <f>IFERROR(VLOOKUP(JK30,教师安排!$A:$Y,JK$2+1,FALSE),"")</f>
        <v>张冰雪</v>
      </c>
      <c r="JL31" s="126" t="str">
        <f>IFERROR(VLOOKUP(JL30,教师安排!$A:$Y,JL$2+1,FALSE),"")</f>
        <v>李振铎</v>
      </c>
      <c r="JM31" s="126" t="str">
        <f>IFERROR(VLOOKUP(JM30,教师安排!$A:$Y,JM$2+1,FALSE),"")</f>
        <v>马崇庆</v>
      </c>
      <c r="JN31" s="126" t="str">
        <f>IFERROR(VLOOKUP(JN30,教师安排!$A:$Y,JN$2+1,FALSE),"")</f>
        <v>高文凤</v>
      </c>
      <c r="JO31" s="126" t="str">
        <f>IFERROR(VLOOKUP(JO30,教师安排!$A:$Y,JO$2+1,FALSE),"")</f>
        <v>刘腾</v>
      </c>
      <c r="JP31" s="126" t="str">
        <f>IFERROR(VLOOKUP(JP30,教师安排!$A:$Y,JP$2+1,FALSE),"")</f>
        <v>王菲</v>
      </c>
      <c r="JQ31" s="126">
        <f>IFERROR(VLOOKUP(JQ30,教师安排!$A:$Y,JQ$2+1,FALSE),"")</f>
        <v>0</v>
      </c>
      <c r="JR31" s="126">
        <f>IFERROR(VLOOKUP(JR30,教师安排!$A:$Y,JR$2+1,FALSE),"")</f>
        <v>0</v>
      </c>
      <c r="JS31" s="126" t="str">
        <f>IFERROR(VLOOKUP(JS30,教师安排!$A:$Y,JS$2+1,FALSE),"")</f>
        <v>王硕</v>
      </c>
      <c r="JT31" s="126" t="str">
        <f>IFERROR(VLOOKUP(JT30,教师安排!$A:$Y,JT$2+1,FALSE),"")</f>
        <v>董艳华</v>
      </c>
      <c r="JU31" s="126" t="str">
        <f>IFERROR(VLOOKUP(JU30,教师安排!$A:$Y,JU$2+1,FALSE),"")</f>
        <v>孙显阳</v>
      </c>
      <c r="JV31" s="126" t="str">
        <f>IFERROR(VLOOKUP(JV30,教师安排!$A:$Y,JV$2+1,FALSE),"")</f>
        <v/>
      </c>
      <c r="JW31" s="126" t="str">
        <f>IFERROR(VLOOKUP(JW30,教师安排!$A:$Y,JW$2+1,FALSE),"")</f>
        <v/>
      </c>
      <c r="JX31" s="126" t="str">
        <f>IFERROR(VLOOKUP(JX30,教师安排!$A:$Y,JX$2+1,FALSE),"")</f>
        <v/>
      </c>
      <c r="JY31" s="126" t="str">
        <f>IFERROR(VLOOKUP(JY30,教师安排!$A:$Y,JY$2+1,FALSE),"")</f>
        <v/>
      </c>
      <c r="JZ31" s="126"/>
      <c r="KA31" s="126" t="str">
        <f>IFERROR(VLOOKUP(KA30,教师安排!$A:$Y,KA$2+1,FALSE),"")</f>
        <v/>
      </c>
      <c r="KB31" s="126" t="str">
        <f>IFERROR(VLOOKUP(KB30,教师安排!$A:$Y,KB$2+1,FALSE),"")</f>
        <v/>
      </c>
      <c r="KC31" s="126" t="str">
        <f>IFERROR(VLOOKUP(KC30,教师安排!$A:$Y,KC$2+1,FALSE),"")</f>
        <v/>
      </c>
      <c r="KD31" s="126" t="str">
        <f>IFERROR(VLOOKUP(KD30,教师安排!$A:$Y,KD$2+1,FALSE),"")</f>
        <v/>
      </c>
    </row>
    <row r="32" spans="1:290" ht="18" customHeight="1" x14ac:dyDescent="0.3">
      <c r="A32" s="146" t="s">
        <v>164</v>
      </c>
      <c r="B32" s="148" t="s">
        <v>165</v>
      </c>
      <c r="C32" s="121" t="s">
        <v>62</v>
      </c>
      <c r="D32" s="121" t="s">
        <v>109</v>
      </c>
      <c r="E32" s="121" t="s">
        <v>109</v>
      </c>
      <c r="F32" s="121" t="s">
        <v>76</v>
      </c>
      <c r="G32" s="121" t="s">
        <v>58</v>
      </c>
      <c r="H32" s="121" t="s">
        <v>109</v>
      </c>
      <c r="I32" s="121" t="s">
        <v>76</v>
      </c>
      <c r="J32" s="121" t="s">
        <v>76</v>
      </c>
      <c r="K32" s="121" t="s">
        <v>110</v>
      </c>
      <c r="L32" s="121" t="s">
        <v>109</v>
      </c>
      <c r="M32" s="121" t="s">
        <v>109</v>
      </c>
      <c r="N32" s="121" t="s">
        <v>135</v>
      </c>
      <c r="O32" s="121" t="s">
        <v>71</v>
      </c>
      <c r="P32" s="121" t="s">
        <v>66</v>
      </c>
      <c r="Q32" s="121" t="s">
        <v>71</v>
      </c>
      <c r="R32" s="121"/>
      <c r="S32" s="121"/>
      <c r="T32" s="121"/>
      <c r="U32" s="121"/>
      <c r="V32" s="121"/>
      <c r="W32" s="121"/>
      <c r="X32" s="121"/>
      <c r="Y32" s="121"/>
      <c r="Z32" s="121"/>
      <c r="AA32" s="122" t="s">
        <v>108</v>
      </c>
      <c r="AB32" s="122" t="s">
        <v>76</v>
      </c>
      <c r="AC32" s="122" t="s">
        <v>62</v>
      </c>
      <c r="AD32" s="122" t="s">
        <v>108</v>
      </c>
      <c r="AE32" s="122" t="s">
        <v>110</v>
      </c>
      <c r="AF32" s="122" t="s">
        <v>110</v>
      </c>
      <c r="AG32" s="122" t="s">
        <v>110</v>
      </c>
      <c r="AH32" s="122" t="s">
        <v>110</v>
      </c>
      <c r="AI32" s="122" t="s">
        <v>76</v>
      </c>
      <c r="AJ32" s="122" t="s">
        <v>108</v>
      </c>
      <c r="AK32" s="122" t="s">
        <v>76</v>
      </c>
      <c r="AL32" s="122" t="s">
        <v>135</v>
      </c>
      <c r="AM32" s="122" t="s">
        <v>109</v>
      </c>
      <c r="AN32" s="122" t="s">
        <v>71</v>
      </c>
      <c r="AO32" s="122" t="s">
        <v>109</v>
      </c>
      <c r="AP32" s="122" t="s">
        <v>139</v>
      </c>
      <c r="AQ32" s="122"/>
      <c r="AR32" s="122" t="s">
        <v>140</v>
      </c>
      <c r="AS32" s="122"/>
      <c r="AT32" s="122"/>
      <c r="AU32" s="122"/>
      <c r="AV32" s="122"/>
      <c r="AW32" s="122"/>
      <c r="AX32" s="122"/>
      <c r="AY32" s="121" t="s">
        <v>66</v>
      </c>
      <c r="AZ32" s="121" t="s">
        <v>108</v>
      </c>
      <c r="BA32" s="121" t="s">
        <v>108</v>
      </c>
      <c r="BB32" s="121" t="s">
        <v>62</v>
      </c>
      <c r="BC32" s="121" t="s">
        <v>109</v>
      </c>
      <c r="BD32" s="121" t="s">
        <v>108</v>
      </c>
      <c r="BE32" s="121" t="s">
        <v>108</v>
      </c>
      <c r="BF32" s="121" t="s">
        <v>58</v>
      </c>
      <c r="BG32" s="121" t="s">
        <v>108</v>
      </c>
      <c r="BH32" s="121" t="s">
        <v>110</v>
      </c>
      <c r="BI32" s="121" t="s">
        <v>109</v>
      </c>
      <c r="BJ32" s="121" t="s">
        <v>135</v>
      </c>
      <c r="BK32" s="121" t="s">
        <v>66</v>
      </c>
      <c r="BL32" s="121" t="s">
        <v>76</v>
      </c>
      <c r="BM32" s="121" t="s">
        <v>76</v>
      </c>
      <c r="BN32" s="121"/>
      <c r="BO32" s="121" t="s">
        <v>139</v>
      </c>
      <c r="BP32" s="121"/>
      <c r="BQ32" s="121" t="s">
        <v>140</v>
      </c>
      <c r="BR32" s="121"/>
      <c r="BS32" s="121"/>
      <c r="BT32" s="121"/>
      <c r="BU32" s="121"/>
      <c r="BV32" s="121"/>
      <c r="BW32" s="122" t="s">
        <v>109</v>
      </c>
      <c r="BX32" s="122" t="s">
        <v>110</v>
      </c>
      <c r="BY32" s="122" t="s">
        <v>110</v>
      </c>
      <c r="BZ32" s="122" t="s">
        <v>66</v>
      </c>
      <c r="CA32" s="122" t="s">
        <v>54</v>
      </c>
      <c r="CB32" s="122" t="s">
        <v>62</v>
      </c>
      <c r="CC32" s="122" t="s">
        <v>58</v>
      </c>
      <c r="CD32" s="122" t="s">
        <v>54</v>
      </c>
      <c r="CE32" s="122" t="s">
        <v>66</v>
      </c>
      <c r="CF32" s="122" t="s">
        <v>76</v>
      </c>
      <c r="CG32" s="122" t="s">
        <v>108</v>
      </c>
      <c r="CH32" s="122" t="s">
        <v>135</v>
      </c>
      <c r="CI32" s="122" t="s">
        <v>108</v>
      </c>
      <c r="CJ32" s="122" t="s">
        <v>108</v>
      </c>
      <c r="CK32" s="122" t="s">
        <v>108</v>
      </c>
      <c r="CL32" s="122"/>
      <c r="CM32" s="122" t="s">
        <v>141</v>
      </c>
      <c r="CN32" s="122"/>
      <c r="CO32" s="122" t="s">
        <v>142</v>
      </c>
      <c r="CP32" s="122" t="s">
        <v>140</v>
      </c>
      <c r="CQ32" s="122" t="s">
        <v>140</v>
      </c>
      <c r="CR32" s="122" t="s">
        <v>139</v>
      </c>
      <c r="CS32" s="122" t="s">
        <v>139</v>
      </c>
      <c r="CT32" s="122" t="s">
        <v>139</v>
      </c>
      <c r="CU32" s="121" t="s">
        <v>110</v>
      </c>
      <c r="CV32" s="121" t="s">
        <v>62</v>
      </c>
      <c r="CW32" s="121" t="s">
        <v>76</v>
      </c>
      <c r="CX32" s="121" t="s">
        <v>110</v>
      </c>
      <c r="CY32" s="121" t="s">
        <v>109</v>
      </c>
      <c r="CZ32" s="121" t="s">
        <v>58</v>
      </c>
      <c r="DA32" s="121" t="s">
        <v>54</v>
      </c>
      <c r="DB32" s="121" t="s">
        <v>76</v>
      </c>
      <c r="DC32" s="121" t="s">
        <v>66</v>
      </c>
      <c r="DD32" s="121" t="s">
        <v>66</v>
      </c>
      <c r="DE32" s="121" t="s">
        <v>110</v>
      </c>
      <c r="DF32" s="121" t="s">
        <v>135</v>
      </c>
      <c r="DG32" s="121" t="s">
        <v>110</v>
      </c>
      <c r="DH32" s="121" t="s">
        <v>110</v>
      </c>
      <c r="DI32" s="121" t="s">
        <v>110</v>
      </c>
      <c r="DJ32" s="121" t="s">
        <v>141</v>
      </c>
      <c r="DK32" s="121"/>
      <c r="DL32" s="121" t="s">
        <v>142</v>
      </c>
      <c r="DM32" s="121"/>
      <c r="DN32" s="121" t="s">
        <v>142</v>
      </c>
      <c r="DO32" s="121" t="s">
        <v>142</v>
      </c>
      <c r="DP32" s="121" t="s">
        <v>141</v>
      </c>
      <c r="DQ32" s="121" t="s">
        <v>141</v>
      </c>
      <c r="DR32" s="121" t="s">
        <v>141</v>
      </c>
      <c r="DS32" s="122" t="s">
        <v>109</v>
      </c>
      <c r="DT32" s="122" t="s">
        <v>76</v>
      </c>
      <c r="DU32" s="122" t="s">
        <v>66</v>
      </c>
      <c r="DV32" s="122" t="s">
        <v>96</v>
      </c>
      <c r="DW32" s="122" t="s">
        <v>108</v>
      </c>
      <c r="DX32" s="122" t="s">
        <v>109</v>
      </c>
      <c r="DY32" s="122" t="s">
        <v>109</v>
      </c>
      <c r="DZ32" s="122" t="s">
        <v>108</v>
      </c>
      <c r="EA32" s="122" t="s">
        <v>109</v>
      </c>
      <c r="EB32" s="122" t="s">
        <v>109</v>
      </c>
      <c r="EC32" s="122" t="s">
        <v>71</v>
      </c>
      <c r="ED32" s="122" t="s">
        <v>135</v>
      </c>
      <c r="EE32" s="122" t="s">
        <v>66</v>
      </c>
      <c r="EF32" s="122" t="s">
        <v>66</v>
      </c>
      <c r="EG32" s="122" t="s">
        <v>76</v>
      </c>
      <c r="EH32" s="122"/>
      <c r="EI32" s="122"/>
      <c r="EJ32" s="122"/>
      <c r="EK32" s="122"/>
      <c r="EL32" s="122"/>
      <c r="EM32" s="122"/>
      <c r="EN32" s="122"/>
      <c r="EO32" s="122"/>
      <c r="EP32" s="122"/>
      <c r="EQ32" s="121" t="s">
        <v>108</v>
      </c>
      <c r="ER32" s="121" t="s">
        <v>109</v>
      </c>
      <c r="ES32" s="121" t="s">
        <v>109</v>
      </c>
      <c r="ET32" s="121" t="s">
        <v>108</v>
      </c>
      <c r="EU32" s="121" t="s">
        <v>62</v>
      </c>
      <c r="EV32" s="121" t="s">
        <v>62</v>
      </c>
      <c r="EW32" s="121" t="s">
        <v>54</v>
      </c>
      <c r="EX32" s="121" t="s">
        <v>109</v>
      </c>
      <c r="EY32" s="121" t="s">
        <v>108</v>
      </c>
      <c r="EZ32" s="121" t="s">
        <v>76</v>
      </c>
      <c r="FA32" s="121" t="s">
        <v>66</v>
      </c>
      <c r="FB32" s="121" t="s">
        <v>135</v>
      </c>
      <c r="FC32" s="121" t="s">
        <v>71</v>
      </c>
      <c r="FD32" s="121" t="s">
        <v>76</v>
      </c>
      <c r="FE32" s="121" t="s">
        <v>71</v>
      </c>
      <c r="FF32" s="121" t="s">
        <v>139</v>
      </c>
      <c r="FG32" s="121"/>
      <c r="FH32" s="121" t="s">
        <v>140</v>
      </c>
      <c r="FI32" s="121"/>
      <c r="FJ32" s="121"/>
      <c r="FK32" s="121"/>
      <c r="FL32" s="121"/>
      <c r="FM32" s="121"/>
      <c r="FN32" s="121"/>
      <c r="FO32" s="122" t="s">
        <v>66</v>
      </c>
      <c r="FP32" s="122" t="s">
        <v>62</v>
      </c>
      <c r="FQ32" s="122" t="s">
        <v>76</v>
      </c>
      <c r="FR32" s="122" t="s">
        <v>109</v>
      </c>
      <c r="FS32" s="122" t="s">
        <v>62</v>
      </c>
      <c r="FT32" s="122" t="s">
        <v>54</v>
      </c>
      <c r="FU32" s="122" t="s">
        <v>76</v>
      </c>
      <c r="FV32" s="122" t="s">
        <v>109</v>
      </c>
      <c r="FW32" s="122" t="s">
        <v>110</v>
      </c>
      <c r="FX32" s="122" t="s">
        <v>66</v>
      </c>
      <c r="FY32" s="122" t="s">
        <v>66</v>
      </c>
      <c r="FZ32" s="122" t="s">
        <v>135</v>
      </c>
      <c r="GA32" s="122" t="s">
        <v>109</v>
      </c>
      <c r="GB32" s="122" t="s">
        <v>109</v>
      </c>
      <c r="GC32" s="122" t="s">
        <v>66</v>
      </c>
      <c r="GD32" s="122"/>
      <c r="GE32" s="122"/>
      <c r="GF32" s="122"/>
      <c r="GG32" s="122"/>
      <c r="GH32" s="122"/>
      <c r="GI32" s="122"/>
      <c r="GJ32" s="122"/>
      <c r="GK32" s="122"/>
      <c r="GL32" s="122"/>
      <c r="GM32" s="121" t="s">
        <v>76</v>
      </c>
      <c r="GN32" s="121" t="s">
        <v>110</v>
      </c>
      <c r="GO32" s="121" t="s">
        <v>110</v>
      </c>
      <c r="GP32" s="121" t="s">
        <v>62</v>
      </c>
      <c r="GQ32" s="121" t="s">
        <v>110</v>
      </c>
      <c r="GR32" s="121" t="s">
        <v>110</v>
      </c>
      <c r="GS32" s="121" t="s">
        <v>110</v>
      </c>
      <c r="GT32" s="121" t="s">
        <v>110</v>
      </c>
      <c r="GU32" s="121" t="s">
        <v>62</v>
      </c>
      <c r="GV32" s="121" t="s">
        <v>108</v>
      </c>
      <c r="GW32" s="121" t="s">
        <v>76</v>
      </c>
      <c r="GX32" s="121" t="s">
        <v>135</v>
      </c>
      <c r="GY32" s="121" t="s">
        <v>76</v>
      </c>
      <c r="GZ32" s="121" t="s">
        <v>71</v>
      </c>
      <c r="HA32" s="121" t="s">
        <v>109</v>
      </c>
      <c r="HB32" s="121"/>
      <c r="HC32" s="121" t="s">
        <v>141</v>
      </c>
      <c r="HD32" s="121"/>
      <c r="HE32" s="121" t="s">
        <v>142</v>
      </c>
      <c r="HF32" s="121"/>
      <c r="HG32" s="121"/>
      <c r="HH32" s="121"/>
      <c r="HI32" s="121"/>
      <c r="HJ32" s="121"/>
      <c r="HK32" s="122" t="s">
        <v>62</v>
      </c>
      <c r="HL32" s="122" t="s">
        <v>108</v>
      </c>
      <c r="HM32" s="122" t="s">
        <v>108</v>
      </c>
      <c r="HN32" s="122" t="s">
        <v>76</v>
      </c>
      <c r="HO32" s="122" t="s">
        <v>108</v>
      </c>
      <c r="HP32" s="122" t="s">
        <v>108</v>
      </c>
      <c r="HQ32" s="122" t="s">
        <v>108</v>
      </c>
      <c r="HR32" s="122" t="s">
        <v>108</v>
      </c>
      <c r="HS32" s="122" t="s">
        <v>109</v>
      </c>
      <c r="HT32" s="122" t="s">
        <v>110</v>
      </c>
      <c r="HU32" s="122" t="s">
        <v>71</v>
      </c>
      <c r="HV32" s="122" t="s">
        <v>135</v>
      </c>
      <c r="HW32" s="122" t="s">
        <v>76</v>
      </c>
      <c r="HX32" s="122" t="s">
        <v>109</v>
      </c>
      <c r="HY32" s="122" t="s">
        <v>66</v>
      </c>
      <c r="HZ32" s="122"/>
      <c r="IA32" s="122" t="s">
        <v>139</v>
      </c>
      <c r="IB32" s="122"/>
      <c r="IC32" s="122" t="s">
        <v>140</v>
      </c>
      <c r="ID32" s="122"/>
      <c r="IE32" s="122"/>
      <c r="IF32" s="122"/>
      <c r="IG32" s="122"/>
      <c r="IH32" s="122"/>
      <c r="II32" s="121" t="s">
        <v>110</v>
      </c>
      <c r="IJ32" s="121" t="s">
        <v>66</v>
      </c>
      <c r="IK32" s="121" t="s">
        <v>66</v>
      </c>
      <c r="IL32" s="121" t="s">
        <v>110</v>
      </c>
      <c r="IM32" s="121" t="s">
        <v>54</v>
      </c>
      <c r="IN32" s="121" t="s">
        <v>58</v>
      </c>
      <c r="IO32" s="121" t="s">
        <v>109</v>
      </c>
      <c r="IP32" s="121" t="s">
        <v>54</v>
      </c>
      <c r="IQ32" s="121" t="s">
        <v>76</v>
      </c>
      <c r="IR32" s="121" t="s">
        <v>62</v>
      </c>
      <c r="IS32" s="121" t="s">
        <v>108</v>
      </c>
      <c r="IT32" s="121" t="s">
        <v>135</v>
      </c>
      <c r="IU32" s="121" t="s">
        <v>108</v>
      </c>
      <c r="IV32" s="121" t="s">
        <v>108</v>
      </c>
      <c r="IW32" s="121" t="s">
        <v>108</v>
      </c>
      <c r="IX32" s="121" t="s">
        <v>141</v>
      </c>
      <c r="IY32" s="121"/>
      <c r="IZ32" s="121" t="s">
        <v>142</v>
      </c>
      <c r="JA32" s="121"/>
      <c r="JB32" s="121" t="s">
        <v>140</v>
      </c>
      <c r="JC32" s="121" t="s">
        <v>140</v>
      </c>
      <c r="JD32" s="121" t="s">
        <v>139</v>
      </c>
      <c r="JE32" s="121" t="s">
        <v>139</v>
      </c>
      <c r="JF32" s="121" t="s">
        <v>139</v>
      </c>
      <c r="JG32" s="122" t="s">
        <v>76</v>
      </c>
      <c r="JH32" s="122" t="s">
        <v>66</v>
      </c>
      <c r="JI32" s="122" t="s">
        <v>62</v>
      </c>
      <c r="JJ32" s="122" t="s">
        <v>66</v>
      </c>
      <c r="JK32" s="122" t="s">
        <v>58</v>
      </c>
      <c r="JL32" s="122" t="s">
        <v>54</v>
      </c>
      <c r="JM32" s="122" t="s">
        <v>58</v>
      </c>
      <c r="JN32" s="122" t="s">
        <v>58</v>
      </c>
      <c r="JO32" s="122" t="s">
        <v>62</v>
      </c>
      <c r="JP32" s="122" t="s">
        <v>62</v>
      </c>
      <c r="JQ32" s="122" t="s">
        <v>110</v>
      </c>
      <c r="JR32" s="122" t="s">
        <v>135</v>
      </c>
      <c r="JS32" s="122" t="s">
        <v>110</v>
      </c>
      <c r="JT32" s="122" t="s">
        <v>110</v>
      </c>
      <c r="JU32" s="122" t="s">
        <v>110</v>
      </c>
      <c r="JV32" s="122"/>
      <c r="JW32" s="122"/>
      <c r="JX32" s="122"/>
      <c r="JY32" s="122"/>
      <c r="JZ32" s="122" t="s">
        <v>142</v>
      </c>
      <c r="KA32" s="122" t="s">
        <v>142</v>
      </c>
      <c r="KB32" s="122" t="s">
        <v>141</v>
      </c>
      <c r="KC32" s="122" t="s">
        <v>141</v>
      </c>
      <c r="KD32" s="122" t="s">
        <v>141</v>
      </c>
    </row>
    <row r="33" spans="1:290" ht="18" customHeight="1" x14ac:dyDescent="0.4">
      <c r="A33" s="146"/>
      <c r="B33" s="148"/>
      <c r="C33" s="128" t="str">
        <f>IFERROR(VLOOKUP(C32,教师安排!$A:$Y,C$2+1,FALSE),"")</f>
        <v>周兴玲</v>
      </c>
      <c r="D33" s="128" t="str">
        <f>IFERROR(VLOOKUP(D32,教师安排!$A:$Y,D$2+1,FALSE),"")</f>
        <v>史振塞</v>
      </c>
      <c r="E33" s="128" t="str">
        <f>IFERROR(VLOOKUP(E32,教师安排!$A:$Y,E$2+1,FALSE),"")</f>
        <v>杨彬</v>
      </c>
      <c r="F33" s="128" t="str">
        <f>IFERROR(VLOOKUP(F32,教师安排!$A:$Y,F$2+1,FALSE),"")</f>
        <v>李会玲</v>
      </c>
      <c r="G33" s="128" t="str">
        <f>IFERROR(VLOOKUP(G32,教师安排!$A:$Y,G$2+1,FALSE),"")</f>
        <v>李振铎</v>
      </c>
      <c r="H33" s="128" t="str">
        <f>IFERROR(VLOOKUP(H32,教师安排!$A:$Y,H$2+1,FALSE),"")</f>
        <v>姜媛媛</v>
      </c>
      <c r="I33" s="128" t="str">
        <f>IFERROR(VLOOKUP(I32,教师安排!$A:$Y,I$2+1,FALSE),"")</f>
        <v>孙锦锦</v>
      </c>
      <c r="J33" s="128" t="str">
        <f>IFERROR(VLOOKUP(J32,教师安排!$A:$Y,J$2+1,FALSE),"")</f>
        <v>孙秋杰</v>
      </c>
      <c r="K33" s="128" t="str">
        <f>IFERROR(VLOOKUP(K32,教师安排!$A:$Y,K$2+1,FALSE),"")</f>
        <v>王灼</v>
      </c>
      <c r="L33" s="128" t="str">
        <f>IFERROR(VLOOKUP(L32,教师安排!$A:$Y,L$2+1,FALSE),"")</f>
        <v>王菲</v>
      </c>
      <c r="M33" s="128" t="str">
        <f>IFERROR(VLOOKUP(M32,教师安排!$A:$Y,M$2+1,FALSE),"")</f>
        <v>路睿</v>
      </c>
      <c r="N33" s="128">
        <f>IFERROR(VLOOKUP(N32,教师安排!$A:$Y,N$2+1,FALSE),"")</f>
        <v>0</v>
      </c>
      <c r="O33" s="128" t="str">
        <f>IFERROR(VLOOKUP(O32,教师安排!$A:$Y,O$2+1,FALSE),"")</f>
        <v>李浩然</v>
      </c>
      <c r="P33" s="128" t="str">
        <f>IFERROR(VLOOKUP(P32,教师安排!$A:$Y,P$2+1,FALSE),"")</f>
        <v>董艳华</v>
      </c>
      <c r="Q33" s="128" t="str">
        <f>IFERROR(VLOOKUP(Q32,教师安排!$A:$Y,Q$2+1,FALSE),"")</f>
        <v>张鑫</v>
      </c>
      <c r="R33" s="128" t="str">
        <f>IFERROR(VLOOKUP(R32,教师安排!$A:$Y,R$2+1,FALSE),"")</f>
        <v/>
      </c>
      <c r="S33" s="128" t="str">
        <f>IFERROR(VLOOKUP(S32,教师安排!$A:$Y,S$2+1,FALSE),"")</f>
        <v/>
      </c>
      <c r="T33" s="128" t="str">
        <f>IFERROR(VLOOKUP(T32,教师安排!$A:$Y,T$2+1,FALSE),"")</f>
        <v/>
      </c>
      <c r="U33" s="128" t="str">
        <f>IFERROR(VLOOKUP(U32,教师安排!$A:$Y,U$2+1,FALSE),"")</f>
        <v/>
      </c>
      <c r="V33" s="128"/>
      <c r="W33" s="128" t="str">
        <f>IFERROR(VLOOKUP(W32,教师安排!$A:$Y,W$2+1,FALSE),"")</f>
        <v/>
      </c>
      <c r="X33" s="128" t="str">
        <f>IFERROR(VLOOKUP(X32,教师安排!$A:$Y,X$2+1,FALSE),"")</f>
        <v/>
      </c>
      <c r="Y33" s="128" t="str">
        <f>IFERROR(VLOOKUP(Y32,教师安排!$A:$Y,Y$2+1,FALSE),"")</f>
        <v/>
      </c>
      <c r="Z33" s="128" t="str">
        <f>IFERROR(VLOOKUP(Z32,教师安排!$A:$Y,Z$2+1,FALSE),"")</f>
        <v/>
      </c>
      <c r="AA33" s="129" t="str">
        <f>IFERROR(VLOOKUP(AA32,教师安排!$A:$Y,AA$2+1,FALSE),"")</f>
        <v>岳/厉</v>
      </c>
      <c r="AB33" s="129" t="str">
        <f>IFERROR(VLOOKUP(AB32,教师安排!$A:$Y,AB$2+1,FALSE),"")</f>
        <v>李会玲</v>
      </c>
      <c r="AC33" s="129" t="str">
        <f>IFERROR(VLOOKUP(AC32,教师安排!$A:$Y,AC$2+1,FALSE),"")</f>
        <v>周兴玲</v>
      </c>
      <c r="AD33" s="129" t="str">
        <f>IFERROR(VLOOKUP(AD32,教师安排!$A:$Y,AD$2+1,FALSE),"")</f>
        <v>岳/厉</v>
      </c>
      <c r="AE33" s="129" t="str">
        <f>IFERROR(VLOOKUP(AE32,教师安排!$A:$Y,AE$2+1,FALSE),"")</f>
        <v>王灼</v>
      </c>
      <c r="AF33" s="129" t="str">
        <f>IFERROR(VLOOKUP(AF32,教师安排!$A:$Y,AF$2+1,FALSE),"")</f>
        <v>翟淑玮</v>
      </c>
      <c r="AG33" s="129" t="str">
        <f>IFERROR(VLOOKUP(AG32,教师安排!$A:$Y,AG$2+1,FALSE),"")</f>
        <v>韩丽梅</v>
      </c>
      <c r="AH33" s="129" t="str">
        <f>IFERROR(VLOOKUP(AH32,教师安排!$A:$Y,AH$2+1,FALSE),"")</f>
        <v>宋平</v>
      </c>
      <c r="AI33" s="129" t="str">
        <f>IFERROR(VLOOKUP(AI32,教师安排!$A:$Y,AI$2+1,FALSE),"")</f>
        <v>王硕</v>
      </c>
      <c r="AJ33" s="129" t="str">
        <f>IFERROR(VLOOKUP(AJ32,教师安排!$A:$Y,AJ$2+1,FALSE),"")</f>
        <v>胡存想</v>
      </c>
      <c r="AK33" s="129" t="str">
        <f>IFERROR(VLOOKUP(AK32,教师安排!$A:$Y,AK$2+1,FALSE),"")</f>
        <v>孙锦锦</v>
      </c>
      <c r="AL33" s="129">
        <f>IFERROR(VLOOKUP(AL32,教师安排!$A:$Y,AL$2+1,FALSE),"")</f>
        <v>0</v>
      </c>
      <c r="AM33" s="129" t="str">
        <f>IFERROR(VLOOKUP(AM32,教师安排!$A:$Y,AM$2+1,FALSE),"")</f>
        <v>王菲</v>
      </c>
      <c r="AN33" s="129" t="str">
        <f>IFERROR(VLOOKUP(AN32,教师安排!$A:$Y,AN$2+1,FALSE),"")</f>
        <v>李浩然</v>
      </c>
      <c r="AO33" s="129" t="str">
        <f>IFERROR(VLOOKUP(AO32,教师安排!$A:$Y,AO$2+1,FALSE),"")</f>
        <v>路睿</v>
      </c>
      <c r="AP33" s="129" t="str">
        <f>IFERROR(VLOOKUP(AP32,教师安排!$A:$Y,AP$2+1,FALSE),"")</f>
        <v>岳海霞</v>
      </c>
      <c r="AQ33" s="129" t="str">
        <f>IFERROR(VLOOKUP(AQ32,教师安排!$A:$Y,AQ$2+1,FALSE),"")</f>
        <v/>
      </c>
      <c r="AR33" s="129" t="str">
        <f>IFERROR(VLOOKUP(AR32,教师安排!$A:$Y,AR$2+1,FALSE),"")</f>
        <v>厉彦龙</v>
      </c>
      <c r="AS33" s="129" t="str">
        <f>IFERROR(VLOOKUP(AS32,教师安排!$A:$Y,AS$2+1,FALSE),"")</f>
        <v/>
      </c>
      <c r="AT33" s="129"/>
      <c r="AU33" s="129" t="str">
        <f>IFERROR(VLOOKUP(AU32,教师安排!$A:$Y,AU$2+1,FALSE),"")</f>
        <v/>
      </c>
      <c r="AV33" s="129" t="str">
        <f>IFERROR(VLOOKUP(AV32,教师安排!$A:$Y,AV$2+1,FALSE),"")</f>
        <v/>
      </c>
      <c r="AW33" s="129" t="str">
        <f>IFERROR(VLOOKUP(AW32,教师安排!$A:$Y,AW$2+1,FALSE),"")</f>
        <v/>
      </c>
      <c r="AX33" s="129" t="str">
        <f>IFERROR(VLOOKUP(AX32,教师安排!$A:$Y,AX$2+1,FALSE),"")</f>
        <v/>
      </c>
      <c r="AY33" s="128" t="str">
        <f>IFERROR(VLOOKUP(AY32,教师安排!$A:$Y,AY$2+1,FALSE),"")</f>
        <v>李雯</v>
      </c>
      <c r="AZ33" s="128" t="str">
        <f>IFERROR(VLOOKUP(AZ32,教师安排!$A:$Y,AZ$2+1,FALSE),"")</f>
        <v>岳/厉</v>
      </c>
      <c r="BA33" s="128" t="str">
        <f>IFERROR(VLOOKUP(BA32,教师安排!$A:$Y,BA$2+1,FALSE),"")</f>
        <v>岳/厉</v>
      </c>
      <c r="BB33" s="128" t="str">
        <f>IFERROR(VLOOKUP(BB32,教师安排!$A:$Y,BB$2+1,FALSE),"")</f>
        <v>周兴玲</v>
      </c>
      <c r="BC33" s="128" t="str">
        <f>IFERROR(VLOOKUP(BC32,教师安排!$A:$Y,BC$2+1,FALSE),"")</f>
        <v>张冰雪</v>
      </c>
      <c r="BD33" s="128" t="str">
        <f>IFERROR(VLOOKUP(BD32,教师安排!$A:$Y,BD$2+1,FALSE),"")</f>
        <v>翟淑玮</v>
      </c>
      <c r="BE33" s="128" t="str">
        <f>IFERROR(VLOOKUP(BE32,教师安排!$A:$Y,BE$2+1,FALSE),"")</f>
        <v>韩丽梅</v>
      </c>
      <c r="BF33" s="128" t="str">
        <f>IFERROR(VLOOKUP(BF32,教师安排!$A:$Y,BF$2+1,FALSE),"")</f>
        <v>宋开元</v>
      </c>
      <c r="BG33" s="128" t="str">
        <f>IFERROR(VLOOKUP(BG32,教师安排!$A:$Y,BG$2+1,FALSE),"")</f>
        <v>王灼</v>
      </c>
      <c r="BH33" s="128" t="str">
        <f>IFERROR(VLOOKUP(BH32,教师安排!$A:$Y,BH$2+1,FALSE),"")</f>
        <v>胡存想</v>
      </c>
      <c r="BI33" s="128" t="str">
        <f>IFERROR(VLOOKUP(BI32,教师安排!$A:$Y,BI$2+1,FALSE),"")</f>
        <v>路睿</v>
      </c>
      <c r="BJ33" s="128">
        <f>IFERROR(VLOOKUP(BJ32,教师安排!$A:$Y,BJ$2+1,FALSE),"")</f>
        <v>0</v>
      </c>
      <c r="BK33" s="128" t="str">
        <f>IFERROR(VLOOKUP(BK32,教师安排!$A:$Y,BK$2+1,FALSE),"")</f>
        <v>夏文杰</v>
      </c>
      <c r="BL33" s="128" t="str">
        <f>IFERROR(VLOOKUP(BL32,教师安排!$A:$Y,BL$2+1,FALSE),"")</f>
        <v>孙锦锦</v>
      </c>
      <c r="BM33" s="128" t="str">
        <f>IFERROR(VLOOKUP(BM32,教师安排!$A:$Y,BM$2+1,FALSE),"")</f>
        <v>孙秋杰</v>
      </c>
      <c r="BN33" s="128" t="str">
        <f>IFERROR(VLOOKUP(BN32,教师安排!$A:$Y,BN$2+1,FALSE),"")</f>
        <v/>
      </c>
      <c r="BO33" s="128" t="str">
        <f>IFERROR(VLOOKUP(BO32,教师安排!$A:$Y,BO$2+1,FALSE),"")</f>
        <v>岳海霞</v>
      </c>
      <c r="BP33" s="128" t="str">
        <f>IFERROR(VLOOKUP(BP32,教师安排!$A:$Y,BP$2+1,FALSE),"")</f>
        <v/>
      </c>
      <c r="BQ33" s="128" t="str">
        <f>IFERROR(VLOOKUP(BQ32,教师安排!$A:$Y,BQ$2+1,FALSE),"")</f>
        <v>厉彦龙</v>
      </c>
      <c r="BR33" s="128"/>
      <c r="BS33" s="128" t="str">
        <f>IFERROR(VLOOKUP(BS32,教师安排!$A:$Y,BS$2+1,FALSE),"")</f>
        <v/>
      </c>
      <c r="BT33" s="128" t="str">
        <f>IFERROR(VLOOKUP(BT32,教师安排!$A:$Y,BT$2+1,FALSE),"")</f>
        <v/>
      </c>
      <c r="BU33" s="128" t="str">
        <f>IFERROR(VLOOKUP(BU32,教师安排!$A:$Y,BU$2+1,FALSE),"")</f>
        <v/>
      </c>
      <c r="BV33" s="128" t="str">
        <f>IFERROR(VLOOKUP(BV32,教师安排!$A:$Y,BV$2+1,FALSE),"")</f>
        <v/>
      </c>
      <c r="BW33" s="129" t="str">
        <f>IFERROR(VLOOKUP(BW32,教师安排!$A:$Y,BW$2+1,FALSE),"")</f>
        <v>杨彬</v>
      </c>
      <c r="BX33" s="129" t="str">
        <f>IFERROR(VLOOKUP(BX32,教师安排!$A:$Y,BX$2+1,FALSE),"")</f>
        <v>岳/厉</v>
      </c>
      <c r="BY33" s="129" t="str">
        <f>IFERROR(VLOOKUP(BY32,教师安排!$A:$Y,BY$2+1,FALSE),"")</f>
        <v>岳/厉</v>
      </c>
      <c r="BZ33" s="129" t="str">
        <f>IFERROR(VLOOKUP(BZ32,教师安排!$A:$Y,BZ$2+1,FALSE),"")</f>
        <v>李雯</v>
      </c>
      <c r="CA33" s="129" t="str">
        <f>IFERROR(VLOOKUP(CA32,教师安排!$A:$Y,CA$2+1,FALSE),"")</f>
        <v>孙存义</v>
      </c>
      <c r="CB33" s="129" t="str">
        <f>IFERROR(VLOOKUP(CB32,教师安排!$A:$Y,CB$2+1,FALSE),"")</f>
        <v>蒋心言</v>
      </c>
      <c r="CC33" s="129" t="str">
        <f>IFERROR(VLOOKUP(CC32,教师安排!$A:$Y,CC$2+1,FALSE),"")</f>
        <v>马崇庆</v>
      </c>
      <c r="CD33" s="129" t="str">
        <f>IFERROR(VLOOKUP(CD32,教师安排!$A:$Y,CD$2+1,FALSE),"")</f>
        <v>康波</v>
      </c>
      <c r="CE33" s="129" t="str">
        <f>IFERROR(VLOOKUP(CE32,教师安排!$A:$Y,CE$2+1,FALSE),"")</f>
        <v>田凤美</v>
      </c>
      <c r="CF33" s="129" t="str">
        <f>IFERROR(VLOOKUP(CF32,教师安排!$A:$Y,CF$2+1,FALSE),"")</f>
        <v>孙秋杰</v>
      </c>
      <c r="CG33" s="129" t="str">
        <f>IFERROR(VLOOKUP(CG32,教师安排!$A:$Y,CG$2+1,FALSE),"")</f>
        <v>王/宋/翟/胡</v>
      </c>
      <c r="CH33" s="129">
        <f>IFERROR(VLOOKUP(CH32,教师安排!$A:$Y,CH$2+1,FALSE),"")</f>
        <v>0</v>
      </c>
      <c r="CI33" s="129" t="str">
        <f>IFERROR(VLOOKUP(CI32,教师安排!$A:$Y,CI$2+1,FALSE),"")</f>
        <v>宋/韩/王</v>
      </c>
      <c r="CJ33" s="129" t="str">
        <f>IFERROR(VLOOKUP(CJ32,教师安排!$A:$Y,CJ$2+1,FALSE),"")</f>
        <v>翟/韩/王</v>
      </c>
      <c r="CK33" s="129" t="str">
        <f>IFERROR(VLOOKUP(CK32,教师安排!$A:$Y,CK$2+1,FALSE),"")</f>
        <v>胡/韩/王</v>
      </c>
      <c r="CL33" s="129" t="str">
        <f>IFERROR(VLOOKUP(CL32,教师安排!$A:$Y,CL$2+1,FALSE),"")</f>
        <v/>
      </c>
      <c r="CM33" s="129" t="str">
        <f>IFERROR(VLOOKUP(CM32,教师安排!$A:$Y,CM$2+1,FALSE),"")</f>
        <v>岳海霞</v>
      </c>
      <c r="CN33" s="129" t="str">
        <f>IFERROR(VLOOKUP(CN32,教师安排!$A:$Y,CN$2+1,FALSE),"")</f>
        <v/>
      </c>
      <c r="CO33" s="129" t="str">
        <f>IFERROR(VLOOKUP(CO32,教师安排!$A:$Y,CO$2+1,FALSE),"")</f>
        <v>厉彦龙</v>
      </c>
      <c r="CP33" s="129" t="str">
        <f>IFERROR(VLOOKUP(CP32,教师安排!$A:$Y,CP$2+1,FALSE),"")</f>
        <v>王灼</v>
      </c>
      <c r="CQ33" s="129" t="str">
        <f>IFERROR(VLOOKUP(CQ32,教师安排!$A:$Y,CQ$2+1,FALSE),"")</f>
        <v>韩丽梅</v>
      </c>
      <c r="CR33" s="129" t="str">
        <f>IFERROR(VLOOKUP(CR32,教师安排!$A:$Y,CR$2+1,FALSE),"")</f>
        <v>宋平</v>
      </c>
      <c r="CS33" s="129" t="str">
        <f>IFERROR(VLOOKUP(CS32,教师安排!$A:$Y,CS$2+1,FALSE),"")</f>
        <v>翟淑玮</v>
      </c>
      <c r="CT33" s="129" t="str">
        <f>IFERROR(VLOOKUP(CT32,教师安排!$A:$Y,CT$2+1,FALSE),"")</f>
        <v>胡存想</v>
      </c>
      <c r="CU33" s="125" t="str">
        <f>IFERROR(VLOOKUP(CU32,教师安排!$A:$Y,CU$2+1,FALSE),"")</f>
        <v>岳/厉</v>
      </c>
      <c r="CV33" s="125" t="str">
        <f>IFERROR(VLOOKUP(CV32,教师安排!$A:$Y,CV$2+1,FALSE),"")</f>
        <v>周兴玲</v>
      </c>
      <c r="CW33" s="125" t="str">
        <f>IFERROR(VLOOKUP(CW32,教师安排!$A:$Y,CW$2+1,FALSE),"")</f>
        <v>李会玲</v>
      </c>
      <c r="CX33" s="125" t="str">
        <f>IFERROR(VLOOKUP(CX32,教师安排!$A:$Y,CX$2+1,FALSE),"")</f>
        <v>岳/厉</v>
      </c>
      <c r="CY33" s="125" t="str">
        <f>IFERROR(VLOOKUP(CY32,教师安排!$A:$Y,CY$2+1,FALSE),"")</f>
        <v>张冰雪</v>
      </c>
      <c r="CZ33" s="125" t="str">
        <f>IFERROR(VLOOKUP(CZ32,教师安排!$A:$Y,CZ$2+1,FALSE),"")</f>
        <v>李振铎</v>
      </c>
      <c r="DA33" s="125" t="str">
        <f>IFERROR(VLOOKUP(DA32,教师安排!$A:$Y,DA$2+1,FALSE),"")</f>
        <v>孙存义</v>
      </c>
      <c r="DB33" s="125" t="str">
        <f>IFERROR(VLOOKUP(DB32,教师安排!$A:$Y,DB$2+1,FALSE),"")</f>
        <v>孙秋杰</v>
      </c>
      <c r="DC33" s="125" t="str">
        <f>IFERROR(VLOOKUP(DC32,教师安排!$A:$Y,DC$2+1,FALSE),"")</f>
        <v>田凤美</v>
      </c>
      <c r="DD33" s="125" t="str">
        <f>IFERROR(VLOOKUP(DD32,教师安排!$A:$Y,DD$2+1,FALSE),"")</f>
        <v>董艳华</v>
      </c>
      <c r="DE33" s="125" t="str">
        <f>IFERROR(VLOOKUP(DE32,教师安排!$A:$Y,DE$2+1,FALSE),"")</f>
        <v>王/宋/翟/胡</v>
      </c>
      <c r="DF33" s="125">
        <f>IFERROR(VLOOKUP(DF32,教师安排!$A:$Y,DF$2+1,FALSE),"")</f>
        <v>0</v>
      </c>
      <c r="DG33" s="125" t="str">
        <f>IFERROR(VLOOKUP(DG32,教师安排!$A:$Y,DG$2+1,FALSE),"")</f>
        <v>宋/韩/王</v>
      </c>
      <c r="DH33" s="125" t="str">
        <f>IFERROR(VLOOKUP(DH32,教师安排!$A:$Y,DH$2+1,FALSE),"")</f>
        <v>翟/韩/王</v>
      </c>
      <c r="DI33" s="125" t="str">
        <f>IFERROR(VLOOKUP(DI32,教师安排!$A:$Y,DI$2+1,FALSE),"")</f>
        <v>胡/韩/王</v>
      </c>
      <c r="DJ33" s="125" t="str">
        <f>IFERROR(VLOOKUP(DJ32,教师安排!$A:$Y,DJ$2+1,FALSE),"")</f>
        <v>岳海霞</v>
      </c>
      <c r="DK33" s="125" t="str">
        <f>IFERROR(VLOOKUP(DK32,教师安排!$A:$Y,DK$2+1,FALSE),"")</f>
        <v/>
      </c>
      <c r="DL33" s="125" t="str">
        <f>IFERROR(VLOOKUP(DL32,教师安排!$A:$Y,DL$2+1,FALSE),"")</f>
        <v>厉彦龙</v>
      </c>
      <c r="DM33" s="125" t="str">
        <f>IFERROR(VLOOKUP(DM32,教师安排!$A:$Y,DM$2+1,FALSE),"")</f>
        <v/>
      </c>
      <c r="DN33" s="125" t="str">
        <f>IFERROR(VLOOKUP(DN32,教师安排!$A:$Y,DN$2+1,FALSE),"")</f>
        <v>王灼</v>
      </c>
      <c r="DO33" s="125" t="str">
        <f>IFERROR(VLOOKUP(DO32,教师安排!$A:$Y,DO$2+1,FALSE),"")</f>
        <v>韩丽梅</v>
      </c>
      <c r="DP33" s="125" t="str">
        <f>IFERROR(VLOOKUP(DP32,教师安排!$A:$Y,DP$2+1,FALSE),"")</f>
        <v>宋平</v>
      </c>
      <c r="DQ33" s="125" t="str">
        <f>IFERROR(VLOOKUP(DQ32,教师安排!$A:$Y,DQ$2+1,FALSE),"")</f>
        <v>翟淑玮</v>
      </c>
      <c r="DR33" s="125" t="str">
        <f>IFERROR(VLOOKUP(DR32,教师安排!$A:$Y,DR$2+1,FALSE),"")</f>
        <v>胡存想</v>
      </c>
      <c r="DS33" s="124" t="str">
        <f>IFERROR(VLOOKUP(DS32,教师安排!$A:$Y,DS$2+1,FALSE),"")</f>
        <v>杨彬</v>
      </c>
      <c r="DT33" s="124" t="str">
        <f>IFERROR(VLOOKUP(DT32,教师安排!$A:$Y,DT$2+1,FALSE),"")</f>
        <v>李会玲</v>
      </c>
      <c r="DU33" s="124" t="str">
        <f>IFERROR(VLOOKUP(DU32,教师安排!$A:$Y,DU$2+1,FALSE),"")</f>
        <v>李雯</v>
      </c>
      <c r="DV33" s="124" t="str">
        <f>IFERROR(VLOOKUP(DV32,教师安排!$A:$Y,DV$2+1,FALSE),"")</f>
        <v>史振塞</v>
      </c>
      <c r="DW33" s="124" t="str">
        <f>IFERROR(VLOOKUP(DW32,教师安排!$A:$Y,DW$2+1,FALSE),"")</f>
        <v>王灼</v>
      </c>
      <c r="DX33" s="124" t="str">
        <f>IFERROR(VLOOKUP(DX32,教师安排!$A:$Y,DX$2+1,FALSE),"")</f>
        <v>姜媛媛</v>
      </c>
      <c r="DY33" s="124" t="str">
        <f>IFERROR(VLOOKUP(DY32,教师安排!$A:$Y,DY$2+1,FALSE),"")</f>
        <v>王雪莲</v>
      </c>
      <c r="DZ33" s="124" t="str">
        <f>IFERROR(VLOOKUP(DZ32,教师安排!$A:$Y,DZ$2+1,FALSE),"")</f>
        <v>宋平</v>
      </c>
      <c r="EA33" s="124" t="str">
        <f>IFERROR(VLOOKUP(EA32,教师安排!$A:$Y,EA$2+1,FALSE),"")</f>
        <v>张冰雪</v>
      </c>
      <c r="EB33" s="124" t="str">
        <f>IFERROR(VLOOKUP(EB32,教师安排!$A:$Y,EB$2+1,FALSE),"")</f>
        <v>王菲</v>
      </c>
      <c r="EC33" s="124" t="str">
        <f>IFERROR(VLOOKUP(EC32,教师安排!$A:$Y,EC$2+1,FALSE),"")</f>
        <v>张雯皓</v>
      </c>
      <c r="ED33" s="124">
        <f>IFERROR(VLOOKUP(ED32,教师安排!$A:$Y,ED$2+1,FALSE),"")</f>
        <v>0</v>
      </c>
      <c r="EE33" s="124" t="str">
        <f>IFERROR(VLOOKUP(EE32,教师安排!$A:$Y,EE$2+1,FALSE),"")</f>
        <v>夏文杰</v>
      </c>
      <c r="EF33" s="124" t="str">
        <f>IFERROR(VLOOKUP(EF32,教师安排!$A:$Y,EF$2+1,FALSE),"")</f>
        <v>董艳华</v>
      </c>
      <c r="EG33" s="124" t="str">
        <f>IFERROR(VLOOKUP(EG32,教师安排!$A:$Y,EG$2+1,FALSE),"")</f>
        <v>孙秋杰</v>
      </c>
      <c r="EH33" s="124" t="str">
        <f>IFERROR(VLOOKUP(EH32,教师安排!$A:$Y,EH$2+1,FALSE),"")</f>
        <v/>
      </c>
      <c r="EI33" s="124" t="str">
        <f>IFERROR(VLOOKUP(EI32,教师安排!$A:$Y,EI$2+1,FALSE),"")</f>
        <v/>
      </c>
      <c r="EJ33" s="124" t="str">
        <f>IFERROR(VLOOKUP(EJ32,教师安排!$A:$Y,EJ$2+1,FALSE),"")</f>
        <v/>
      </c>
      <c r="EK33" s="124" t="str">
        <f>IFERROR(VLOOKUP(EK32,教师安排!$A:$Y,EK$2+1,FALSE),"")</f>
        <v/>
      </c>
      <c r="EL33" s="124"/>
      <c r="EM33" s="124" t="str">
        <f>IFERROR(VLOOKUP(EM32,教师安排!$A:$Y,EM$2+1,FALSE),"")</f>
        <v/>
      </c>
      <c r="EN33" s="124" t="str">
        <f>IFERROR(VLOOKUP(EN32,教师安排!$A:$Y,EN$2+1,FALSE),"")</f>
        <v/>
      </c>
      <c r="EO33" s="124" t="str">
        <f>IFERROR(VLOOKUP(EO32,教师安排!$A:$Y,EO$2+1,FALSE),"")</f>
        <v/>
      </c>
      <c r="EP33" s="124" t="str">
        <f>IFERROR(VLOOKUP(EP32,教师安排!$A:$Y,EP$2+1,FALSE),"")</f>
        <v/>
      </c>
      <c r="EQ33" s="123" t="str">
        <f>IFERROR(VLOOKUP(EQ32,教师安排!$A:$Y,EQ$2+1,FALSE),"")</f>
        <v>岳/厉</v>
      </c>
      <c r="ER33" s="123" t="str">
        <f>IFERROR(VLOOKUP(ER32,教师安排!$A:$Y,ER$2+1,FALSE),"")</f>
        <v>史振塞</v>
      </c>
      <c r="ES33" s="123" t="str">
        <f>IFERROR(VLOOKUP(ES32,教师安排!$A:$Y,ES$2+1,FALSE),"")</f>
        <v>杨彬</v>
      </c>
      <c r="ET33" s="123" t="str">
        <f>IFERROR(VLOOKUP(ET32,教师安排!$A:$Y,ET$2+1,FALSE),"")</f>
        <v>岳/厉</v>
      </c>
      <c r="EU33" s="123" t="str">
        <f>IFERROR(VLOOKUP(EU32,教师安排!$A:$Y,EU$2+1,FALSE),"")</f>
        <v>刘腾</v>
      </c>
      <c r="EV33" s="123" t="str">
        <f>IFERROR(VLOOKUP(EV32,教师安排!$A:$Y,EV$2+1,FALSE),"")</f>
        <v>蒋心言</v>
      </c>
      <c r="EW33" s="123" t="str">
        <f>IFERROR(VLOOKUP(EW32,教师安排!$A:$Y,EW$2+1,FALSE),"")</f>
        <v>孙存义</v>
      </c>
      <c r="EX33" s="123" t="str">
        <f>IFERROR(VLOOKUP(EX32,教师安排!$A:$Y,EX$2+1,FALSE),"")</f>
        <v>路睿</v>
      </c>
      <c r="EY33" s="123" t="str">
        <f>IFERROR(VLOOKUP(EY32,教师安排!$A:$Y,EY$2+1,FALSE),"")</f>
        <v>王灼</v>
      </c>
      <c r="EZ33" s="123" t="str">
        <f>IFERROR(VLOOKUP(EZ32,教师安排!$A:$Y,EZ$2+1,FALSE),"")</f>
        <v>孙秋杰</v>
      </c>
      <c r="FA33" s="123" t="str">
        <f>IFERROR(VLOOKUP(FA32,教师安排!$A:$Y,FA$2+1,FALSE),"")</f>
        <v>田凤美</v>
      </c>
      <c r="FB33" s="123">
        <f>IFERROR(VLOOKUP(FB32,教师安排!$A:$Y,FB$2+1,FALSE),"")</f>
        <v>0</v>
      </c>
      <c r="FC33" s="123" t="str">
        <f>IFERROR(VLOOKUP(FC32,教师安排!$A:$Y,FC$2+1,FALSE),"")</f>
        <v>李浩然</v>
      </c>
      <c r="FD33" s="123" t="str">
        <f>IFERROR(VLOOKUP(FD32,教师安排!$A:$Y,FD$2+1,FALSE),"")</f>
        <v>孙锦锦</v>
      </c>
      <c r="FE33" s="123" t="str">
        <f>IFERROR(VLOOKUP(FE32,教师安排!$A:$Y,FE$2+1,FALSE),"")</f>
        <v>张鑫</v>
      </c>
      <c r="FF33" s="123" t="str">
        <f>IFERROR(VLOOKUP(FF32,教师安排!$A:$Y,FF$2+1,FALSE),"")</f>
        <v>岳海霞</v>
      </c>
      <c r="FG33" s="123" t="str">
        <f>IFERROR(VLOOKUP(FG32,教师安排!$A:$Y,FG$2+1,FALSE),"")</f>
        <v/>
      </c>
      <c r="FH33" s="123" t="str">
        <f>IFERROR(VLOOKUP(FH32,教师安排!$A:$Y,FH$2+1,FALSE),"")</f>
        <v>厉彦龙</v>
      </c>
      <c r="FI33" s="123" t="str">
        <f>IFERROR(VLOOKUP(FI32,教师安排!$A:$Y,FI$2+1,FALSE),"")</f>
        <v/>
      </c>
      <c r="FJ33" s="123"/>
      <c r="FK33" s="123" t="str">
        <f>IFERROR(VLOOKUP(FK32,教师安排!$A:$Y,FK$2+1,FALSE),"")</f>
        <v/>
      </c>
      <c r="FL33" s="123" t="str">
        <f>IFERROR(VLOOKUP(FL32,教师安排!$A:$Y,FL$2+1,FALSE),"")</f>
        <v/>
      </c>
      <c r="FM33" s="123" t="str">
        <f>IFERROR(VLOOKUP(FM32,教师安排!$A:$Y,FM$2+1,FALSE),"")</f>
        <v/>
      </c>
      <c r="FN33" s="123" t="str">
        <f>IFERROR(VLOOKUP(FN32,教师安排!$A:$Y,FN$2+1,FALSE),"")</f>
        <v/>
      </c>
      <c r="FO33" s="129" t="str">
        <f>IFERROR(VLOOKUP(FO32,教师安排!$A:$Y,FO$2+1,FALSE),"")</f>
        <v>李雯</v>
      </c>
      <c r="FP33" s="129" t="str">
        <f>IFERROR(VLOOKUP(FP32,教师安排!$A:$Y,FP$2+1,FALSE),"")</f>
        <v>周兴玲</v>
      </c>
      <c r="FQ33" s="129" t="str">
        <f>IFERROR(VLOOKUP(FQ32,教师安排!$A:$Y,FQ$2+1,FALSE),"")</f>
        <v>李会玲</v>
      </c>
      <c r="FR33" s="129" t="str">
        <f>IFERROR(VLOOKUP(FR32,教师安排!$A:$Y,FR$2+1,FALSE),"")</f>
        <v>史振塞</v>
      </c>
      <c r="FS33" s="129" t="str">
        <f>IFERROR(VLOOKUP(FS32,教师安排!$A:$Y,FS$2+1,FALSE),"")</f>
        <v>刘腾</v>
      </c>
      <c r="FT33" s="129" t="str">
        <f>IFERROR(VLOOKUP(FT32,教师安排!$A:$Y,FT$2+1,FALSE),"")</f>
        <v>孙存义</v>
      </c>
      <c r="FU33" s="129" t="str">
        <f>IFERROR(VLOOKUP(FU32,教师安排!$A:$Y,FU$2+1,FALSE),"")</f>
        <v>孙锦锦</v>
      </c>
      <c r="FV33" s="129" t="str">
        <f>IFERROR(VLOOKUP(FV32,教师安排!$A:$Y,FV$2+1,FALSE),"")</f>
        <v>路睿</v>
      </c>
      <c r="FW33" s="129" t="str">
        <f>IFERROR(VLOOKUP(FW32,教师安排!$A:$Y,FW$2+1,FALSE),"")</f>
        <v>王灼</v>
      </c>
      <c r="FX33" s="129" t="str">
        <f>IFERROR(VLOOKUP(FX32,教师安排!$A:$Y,FX$2+1,FALSE),"")</f>
        <v>董艳华</v>
      </c>
      <c r="FY33" s="129" t="str">
        <f>IFERROR(VLOOKUP(FY32,教师安排!$A:$Y,FY$2+1,FALSE),"")</f>
        <v>田凤美</v>
      </c>
      <c r="FZ33" s="129">
        <f>IFERROR(VLOOKUP(FZ32,教师安排!$A:$Y,FZ$2+1,FALSE),"")</f>
        <v>0</v>
      </c>
      <c r="GA33" s="129" t="str">
        <f>IFERROR(VLOOKUP(GA32,教师安排!$A:$Y,GA$2+1,FALSE),"")</f>
        <v>王菲</v>
      </c>
      <c r="GB33" s="129" t="str">
        <f>IFERROR(VLOOKUP(GB32,教师安排!$A:$Y,GB$2+1,FALSE),"")</f>
        <v>姜媛媛</v>
      </c>
      <c r="GC33" s="129" t="str">
        <f>IFERROR(VLOOKUP(GC32,教师安排!$A:$Y,GC$2+1,FALSE),"")</f>
        <v>夏文杰</v>
      </c>
      <c r="GD33" s="129" t="str">
        <f>IFERROR(VLOOKUP(GD32,教师安排!$A:$Y,GD$2+1,FALSE),"")</f>
        <v/>
      </c>
      <c r="GE33" s="129" t="str">
        <f>IFERROR(VLOOKUP(GE32,教师安排!$A:$Y,GE$2+1,FALSE),"")</f>
        <v/>
      </c>
      <c r="GF33" s="129" t="str">
        <f>IFERROR(VLOOKUP(GF32,教师安排!$A:$Y,GF$2+1,FALSE),"")</f>
        <v/>
      </c>
      <c r="GG33" s="129" t="str">
        <f>IFERROR(VLOOKUP(GG32,教师安排!$A:$Y,GG$2+1,FALSE),"")</f>
        <v/>
      </c>
      <c r="GH33" s="129"/>
      <c r="GI33" s="129" t="str">
        <f>IFERROR(VLOOKUP(GI32,教师安排!$A:$Y,GI$2+1,FALSE),"")</f>
        <v/>
      </c>
      <c r="GJ33" s="129" t="str">
        <f>IFERROR(VLOOKUP(GJ32,教师安排!$A:$Y,GJ$2+1,FALSE),"")</f>
        <v/>
      </c>
      <c r="GK33" s="129" t="str">
        <f>IFERROR(VLOOKUP(GK32,教师安排!$A:$Y,GK$2+1,FALSE),"")</f>
        <v/>
      </c>
      <c r="GL33" s="129" t="str">
        <f>IFERROR(VLOOKUP(GL32,教师安排!$A:$Y,GL$2+1,FALSE),"")</f>
        <v/>
      </c>
      <c r="GM33" s="128" t="str">
        <f>IFERROR(VLOOKUP(GM32,教师安排!$A:$Y,GM$2+1,FALSE),"")</f>
        <v>李会玲</v>
      </c>
      <c r="GN33" s="128" t="str">
        <f>IFERROR(VLOOKUP(GN32,教师安排!$A:$Y,GN$2+1,FALSE),"")</f>
        <v>岳/厉</v>
      </c>
      <c r="GO33" s="128" t="str">
        <f>IFERROR(VLOOKUP(GO32,教师安排!$A:$Y,GO$2+1,FALSE),"")</f>
        <v>岳/厉</v>
      </c>
      <c r="GP33" s="128" t="str">
        <f>IFERROR(VLOOKUP(GP32,教师安排!$A:$Y,GP$2+1,FALSE),"")</f>
        <v>周兴玲</v>
      </c>
      <c r="GQ33" s="128" t="str">
        <f>IFERROR(VLOOKUP(GQ32,教师安排!$A:$Y,GQ$2+1,FALSE),"")</f>
        <v>王灼</v>
      </c>
      <c r="GR33" s="128" t="str">
        <f>IFERROR(VLOOKUP(GR32,教师安排!$A:$Y,GR$2+1,FALSE),"")</f>
        <v>翟淑玮</v>
      </c>
      <c r="GS33" s="128" t="str">
        <f>IFERROR(VLOOKUP(GS32,教师安排!$A:$Y,GS$2+1,FALSE),"")</f>
        <v>韩丽梅</v>
      </c>
      <c r="GT33" s="128" t="str">
        <f>IFERROR(VLOOKUP(GT32,教师安排!$A:$Y,GT$2+1,FALSE),"")</f>
        <v>宋平</v>
      </c>
      <c r="GU33" s="128" t="str">
        <f>IFERROR(VLOOKUP(GU32,教师安排!$A:$Y,GU$2+1,FALSE),"")</f>
        <v>刘腾</v>
      </c>
      <c r="GV33" s="128" t="str">
        <f>IFERROR(VLOOKUP(GV32,教师安排!$A:$Y,GV$2+1,FALSE),"")</f>
        <v>胡存想</v>
      </c>
      <c r="GW33" s="128" t="str">
        <f>IFERROR(VLOOKUP(GW32,教师安排!$A:$Y,GW$2+1,FALSE),"")</f>
        <v>孙锦锦</v>
      </c>
      <c r="GX33" s="128">
        <f>IFERROR(VLOOKUP(GX32,教师安排!$A:$Y,GX$2+1,FALSE),"")</f>
        <v>0</v>
      </c>
      <c r="GY33" s="128" t="str">
        <f>IFERROR(VLOOKUP(GY32,教师安排!$A:$Y,GY$2+1,FALSE),"")</f>
        <v>王硕</v>
      </c>
      <c r="GZ33" s="128" t="str">
        <f>IFERROR(VLOOKUP(GZ32,教师安排!$A:$Y,GZ$2+1,FALSE),"")</f>
        <v>李浩然</v>
      </c>
      <c r="HA33" s="128" t="str">
        <f>IFERROR(VLOOKUP(HA32,教师安排!$A:$Y,HA$2+1,FALSE),"")</f>
        <v>路睿</v>
      </c>
      <c r="HB33" s="128" t="str">
        <f>IFERROR(VLOOKUP(HB32,教师安排!$A:$Y,HB$2+1,FALSE),"")</f>
        <v/>
      </c>
      <c r="HC33" s="128" t="str">
        <f>IFERROR(VLOOKUP(HC32,教师安排!$A:$Y,HC$2+1,FALSE),"")</f>
        <v>岳海霞</v>
      </c>
      <c r="HD33" s="128" t="str">
        <f>IFERROR(VLOOKUP(HD32,教师安排!$A:$Y,HD$2+1,FALSE),"")</f>
        <v/>
      </c>
      <c r="HE33" s="128" t="str">
        <f>IFERROR(VLOOKUP(HE32,教师安排!$A:$Y,HE$2+1,FALSE),"")</f>
        <v>厉彦龙</v>
      </c>
      <c r="HF33" s="128"/>
      <c r="HG33" s="128" t="str">
        <f>IFERROR(VLOOKUP(HG32,教师安排!$A:$Y,HG$2+1,FALSE),"")</f>
        <v/>
      </c>
      <c r="HH33" s="128" t="str">
        <f>IFERROR(VLOOKUP(HH32,教师安排!$A:$Y,HH$2+1,FALSE),"")</f>
        <v/>
      </c>
      <c r="HI33" s="128" t="str">
        <f>IFERROR(VLOOKUP(HI32,教师安排!$A:$Y,HI$2+1,FALSE),"")</f>
        <v/>
      </c>
      <c r="HJ33" s="128" t="str">
        <f>IFERROR(VLOOKUP(HJ32,教师安排!$A:$Y,HJ$2+1,FALSE),"")</f>
        <v/>
      </c>
      <c r="HK33" s="129" t="str">
        <f>IFERROR(VLOOKUP(HK32,教师安排!$A:$Y,HK$2+1,FALSE),"")</f>
        <v>周兴玲</v>
      </c>
      <c r="HL33" s="129" t="str">
        <f>IFERROR(VLOOKUP(HL32,教师安排!$A:$Y,HL$2+1,FALSE),"")</f>
        <v>岳/厉</v>
      </c>
      <c r="HM33" s="129" t="str">
        <f>IFERROR(VLOOKUP(HM32,教师安排!$A:$Y,HM$2+1,FALSE),"")</f>
        <v>岳/厉</v>
      </c>
      <c r="HN33" s="129" t="str">
        <f>IFERROR(VLOOKUP(HN32,教师安排!$A:$Y,HN$2+1,FALSE),"")</f>
        <v>李会玲</v>
      </c>
      <c r="HO33" s="129" t="str">
        <f>IFERROR(VLOOKUP(HO32,教师安排!$A:$Y,HO$2+1,FALSE),"")</f>
        <v>王灼</v>
      </c>
      <c r="HP33" s="129" t="str">
        <f>IFERROR(VLOOKUP(HP32,教师安排!$A:$Y,HP$2+1,FALSE),"")</f>
        <v>翟淑玮</v>
      </c>
      <c r="HQ33" s="129" t="str">
        <f>IFERROR(VLOOKUP(HQ32,教师安排!$A:$Y,HQ$2+1,FALSE),"")</f>
        <v>韩丽梅</v>
      </c>
      <c r="HR33" s="129" t="str">
        <f>IFERROR(VLOOKUP(HR32,教师安排!$A:$Y,HR$2+1,FALSE),"")</f>
        <v>宋平</v>
      </c>
      <c r="HS33" s="129" t="str">
        <f>IFERROR(VLOOKUP(HS32,教师安排!$A:$Y,HS$2+1,FALSE),"")</f>
        <v>张冰雪</v>
      </c>
      <c r="HT33" s="129" t="str">
        <f>IFERROR(VLOOKUP(HT32,教师安排!$A:$Y,HT$2+1,FALSE),"")</f>
        <v>胡存想</v>
      </c>
      <c r="HU33" s="129" t="str">
        <f>IFERROR(VLOOKUP(HU32,教师安排!$A:$Y,HU$2+1,FALSE),"")</f>
        <v>张雯皓</v>
      </c>
      <c r="HV33" s="129">
        <f>IFERROR(VLOOKUP(HV32,教师安排!$A:$Y,HV$2+1,FALSE),"")</f>
        <v>0</v>
      </c>
      <c r="HW33" s="129" t="str">
        <f>IFERROR(VLOOKUP(HW32,教师安排!$A:$Y,HW$2+1,FALSE),"")</f>
        <v>王硕</v>
      </c>
      <c r="HX33" s="129" t="str">
        <f>IFERROR(VLOOKUP(HX32,教师安排!$A:$Y,HX$2+1,FALSE),"")</f>
        <v>姜媛媛</v>
      </c>
      <c r="HY33" s="129" t="str">
        <f>IFERROR(VLOOKUP(HY32,教师安排!$A:$Y,HY$2+1,FALSE),"")</f>
        <v>夏文杰</v>
      </c>
      <c r="HZ33" s="129" t="str">
        <f>IFERROR(VLOOKUP(HZ32,教师安排!$A:$Y,HZ$2+1,FALSE),"")</f>
        <v/>
      </c>
      <c r="IA33" s="129" t="str">
        <f>IFERROR(VLOOKUP(IA32,教师安排!$A:$Y,IA$2+1,FALSE),"")</f>
        <v>岳海霞</v>
      </c>
      <c r="IB33" s="129" t="str">
        <f>IFERROR(VLOOKUP(IB32,教师安排!$A:$Y,IB$2+1,FALSE),"")</f>
        <v/>
      </c>
      <c r="IC33" s="129" t="str">
        <f>IFERROR(VLOOKUP(IC32,教师安排!$A:$Y,IC$2+1,FALSE),"")</f>
        <v>厉彦龙</v>
      </c>
      <c r="ID33" s="129"/>
      <c r="IE33" s="129" t="str">
        <f>IFERROR(VLOOKUP(IE32,教师安排!$A:$Y,IE$2+1,FALSE),"")</f>
        <v/>
      </c>
      <c r="IF33" s="129" t="str">
        <f>IFERROR(VLOOKUP(IF32,教师安排!$A:$Y,IF$2+1,FALSE),"")</f>
        <v/>
      </c>
      <c r="IG33" s="129" t="str">
        <f>IFERROR(VLOOKUP(IG32,教师安排!$A:$Y,IG$2+1,FALSE),"")</f>
        <v/>
      </c>
      <c r="IH33" s="129" t="str">
        <f>IFERROR(VLOOKUP(IH32,教师安排!$A:$Y,IH$2+1,FALSE),"")</f>
        <v/>
      </c>
      <c r="II33" s="128" t="str">
        <f>IFERROR(VLOOKUP(II32,教师安排!$A:$Y,II$2+1,FALSE),"")</f>
        <v>岳/厉</v>
      </c>
      <c r="IJ33" s="128" t="str">
        <f>IFERROR(VLOOKUP(IJ32,教师安排!$A:$Y,IJ$2+1,FALSE),"")</f>
        <v>田凤美</v>
      </c>
      <c r="IK33" s="128" t="str">
        <f>IFERROR(VLOOKUP(IK32,教师安排!$A:$Y,IK$2+1,FALSE),"")</f>
        <v>李雯</v>
      </c>
      <c r="IL33" s="128" t="str">
        <f>IFERROR(VLOOKUP(IL32,教师安排!$A:$Y,IL$2+1,FALSE),"")</f>
        <v>岳/厉</v>
      </c>
      <c r="IM33" s="128" t="str">
        <f>IFERROR(VLOOKUP(IM32,教师安排!$A:$Y,IM$2+1,FALSE),"")</f>
        <v>孙存义</v>
      </c>
      <c r="IN33" s="128" t="str">
        <f>IFERROR(VLOOKUP(IN32,教师安排!$A:$Y,IN$2+1,FALSE),"")</f>
        <v>李振铎</v>
      </c>
      <c r="IO33" s="128" t="str">
        <f>IFERROR(VLOOKUP(IO32,教师安排!$A:$Y,IO$2+1,FALSE),"")</f>
        <v>王雪莲</v>
      </c>
      <c r="IP33" s="128" t="str">
        <f>IFERROR(VLOOKUP(IP32,教师安排!$A:$Y,IP$2+1,FALSE),"")</f>
        <v>康波</v>
      </c>
      <c r="IQ33" s="128" t="str">
        <f>IFERROR(VLOOKUP(IQ32,教师安排!$A:$Y,IQ$2+1,FALSE),"")</f>
        <v>王硕</v>
      </c>
      <c r="IR33" s="128" t="str">
        <f>IFERROR(VLOOKUP(IR32,教师安排!$A:$Y,IR$2+1,FALSE),"")</f>
        <v>蒋心言</v>
      </c>
      <c r="IS33" s="128" t="str">
        <f>IFERROR(VLOOKUP(IS32,教师安排!$A:$Y,IS$2+1,FALSE),"")</f>
        <v>王/宋/翟/胡</v>
      </c>
      <c r="IT33" s="128">
        <f>IFERROR(VLOOKUP(IT32,教师安排!$A:$Y,IT$2+1,FALSE),"")</f>
        <v>0</v>
      </c>
      <c r="IU33" s="128" t="str">
        <f>IFERROR(VLOOKUP(IU32,教师安排!$A:$Y,IU$2+1,FALSE),"")</f>
        <v>宋/韩/王</v>
      </c>
      <c r="IV33" s="128" t="str">
        <f>IFERROR(VLOOKUP(IV32,教师安排!$A:$Y,IV$2+1,FALSE),"")</f>
        <v>翟/韩/王</v>
      </c>
      <c r="IW33" s="128" t="str">
        <f>IFERROR(VLOOKUP(IW32,教师安排!$A:$Y,IW$2+1,FALSE),"")</f>
        <v>胡/韩/王</v>
      </c>
      <c r="IX33" s="128" t="str">
        <f>IFERROR(VLOOKUP(IX32,教师安排!$A:$Y,IX$2+1,FALSE),"")</f>
        <v>岳海霞</v>
      </c>
      <c r="IY33" s="128" t="str">
        <f>IFERROR(VLOOKUP(IY32,教师安排!$A:$Y,IY$2+1,FALSE),"")</f>
        <v/>
      </c>
      <c r="IZ33" s="128" t="str">
        <f>IFERROR(VLOOKUP(IZ32,教师安排!$A:$Y,IZ$2+1,FALSE),"")</f>
        <v>厉彦龙</v>
      </c>
      <c r="JA33" s="128" t="str">
        <f>IFERROR(VLOOKUP(JA32,教师安排!$A:$Y,JA$2+1,FALSE),"")</f>
        <v/>
      </c>
      <c r="JB33" s="128" t="str">
        <f>IFERROR(VLOOKUP(JB32,教师安排!$A:$Y,JB$2+1,FALSE),"")</f>
        <v>王灼</v>
      </c>
      <c r="JC33" s="128" t="str">
        <f>IFERROR(VLOOKUP(JC32,教师安排!$A:$Y,JC$2+1,FALSE),"")</f>
        <v>韩丽梅</v>
      </c>
      <c r="JD33" s="128" t="str">
        <f>IFERROR(VLOOKUP(JD32,教师安排!$A:$Y,JD$2+1,FALSE),"")</f>
        <v>宋平</v>
      </c>
      <c r="JE33" s="128" t="str">
        <f>IFERROR(VLOOKUP(JE32,教师安排!$A:$Y,JE$2+1,FALSE),"")</f>
        <v>翟淑玮</v>
      </c>
      <c r="JF33" s="128" t="str">
        <f>IFERROR(VLOOKUP(JF32,教师安排!$A:$Y,JF$2+1,FALSE),"")</f>
        <v>胡存想</v>
      </c>
      <c r="JG33" s="129" t="str">
        <f>IFERROR(VLOOKUP(JG32,教师安排!$A:$Y,JG$2+1,FALSE),"")</f>
        <v>李会玲</v>
      </c>
      <c r="JH33" s="129" t="str">
        <f>IFERROR(VLOOKUP(JH32,教师安排!$A:$Y,JH$2+1,FALSE),"")</f>
        <v>田凤美</v>
      </c>
      <c r="JI33" s="129" t="str">
        <f>IFERROR(VLOOKUP(JI32,教师安排!$A:$Y,JI$2+1,FALSE),"")</f>
        <v>周兴玲</v>
      </c>
      <c r="JJ33" s="129" t="str">
        <f>IFERROR(VLOOKUP(JJ32,教师安排!$A:$Y,JJ$2+1,FALSE),"")</f>
        <v>李雯</v>
      </c>
      <c r="JK33" s="129" t="str">
        <f>IFERROR(VLOOKUP(JK32,教师安排!$A:$Y,JK$2+1,FALSE),"")</f>
        <v>李振铎</v>
      </c>
      <c r="JL33" s="129" t="str">
        <f>IFERROR(VLOOKUP(JL32,教师安排!$A:$Y,JL$2+1,FALSE),"")</f>
        <v>孙存义</v>
      </c>
      <c r="JM33" s="129" t="str">
        <f>IFERROR(VLOOKUP(JM32,教师安排!$A:$Y,JM$2+1,FALSE),"")</f>
        <v>马崇庆</v>
      </c>
      <c r="JN33" s="129" t="str">
        <f>IFERROR(VLOOKUP(JN32,教师安排!$A:$Y,JN$2+1,FALSE),"")</f>
        <v>宋开元</v>
      </c>
      <c r="JO33" s="129" t="str">
        <f>IFERROR(VLOOKUP(JO32,教师安排!$A:$Y,JO$2+1,FALSE),"")</f>
        <v>刘腾</v>
      </c>
      <c r="JP33" s="129" t="str">
        <f>IFERROR(VLOOKUP(JP32,教师安排!$A:$Y,JP$2+1,FALSE),"")</f>
        <v>蒋心言</v>
      </c>
      <c r="JQ33" s="129" t="str">
        <f>IFERROR(VLOOKUP(JQ32,教师安排!$A:$Y,JQ$2+1,FALSE),"")</f>
        <v>王/宋/翟/胡</v>
      </c>
      <c r="JR33" s="129">
        <f>IFERROR(VLOOKUP(JR32,教师安排!$A:$Y,JR$2+1,FALSE),"")</f>
        <v>0</v>
      </c>
      <c r="JS33" s="129" t="str">
        <f>IFERROR(VLOOKUP(JS32,教师安排!$A:$Y,JS$2+1,FALSE),"")</f>
        <v>宋/韩/王</v>
      </c>
      <c r="JT33" s="129" t="str">
        <f>IFERROR(VLOOKUP(JT32,教师安排!$A:$Y,JT$2+1,FALSE),"")</f>
        <v>翟/韩/王</v>
      </c>
      <c r="JU33" s="129" t="str">
        <f>IFERROR(VLOOKUP(JU32,教师安排!$A:$Y,JU$2+1,FALSE),"")</f>
        <v>胡/韩/王</v>
      </c>
      <c r="JV33" s="129" t="str">
        <f>IFERROR(VLOOKUP(JV32,教师安排!$A:$Y,JV$2+1,FALSE),"")</f>
        <v/>
      </c>
      <c r="JW33" s="129" t="str">
        <f>IFERROR(VLOOKUP(JW32,教师安排!$A:$Y,JW$2+1,FALSE),"")</f>
        <v/>
      </c>
      <c r="JX33" s="129" t="str">
        <f>IFERROR(VLOOKUP(JX32,教师安排!$A:$Y,JX$2+1,FALSE),"")</f>
        <v/>
      </c>
      <c r="JY33" s="129" t="str">
        <f>IFERROR(VLOOKUP(JY32,教师安排!$A:$Y,JY$2+1,FALSE),"")</f>
        <v/>
      </c>
      <c r="JZ33" s="129" t="str">
        <f>IFERROR(VLOOKUP(JZ32,教师安排!$A:$Y,JZ$2+1,FALSE),"")</f>
        <v>王灼</v>
      </c>
      <c r="KA33" s="129" t="str">
        <f>IFERROR(VLOOKUP(KA32,教师安排!$A:$Y,KA$2+1,FALSE),"")</f>
        <v>韩丽梅</v>
      </c>
      <c r="KB33" s="129" t="str">
        <f>IFERROR(VLOOKUP(KB32,教师安排!$A:$Y,KB$2+1,FALSE),"")</f>
        <v>宋平</v>
      </c>
      <c r="KC33" s="129" t="str">
        <f>IFERROR(VLOOKUP(KC32,教师安排!$A:$Y,KC$2+1,FALSE),"")</f>
        <v>翟淑玮</v>
      </c>
      <c r="KD33" s="129" t="str">
        <f>IFERROR(VLOOKUP(KD32,教师安排!$A:$Y,KD$2+1,FALSE),"")</f>
        <v>胡存想</v>
      </c>
    </row>
    <row r="34" spans="1:290" ht="18" customHeight="1" x14ac:dyDescent="0.3">
      <c r="A34" s="146"/>
      <c r="B34" s="149" t="s">
        <v>166</v>
      </c>
      <c r="C34" s="121" t="s">
        <v>97</v>
      </c>
      <c r="D34" s="121" t="s">
        <v>127</v>
      </c>
      <c r="E34" s="121" t="s">
        <v>127</v>
      </c>
      <c r="F34" s="121" t="s">
        <v>103</v>
      </c>
      <c r="G34" s="121" t="s">
        <v>101</v>
      </c>
      <c r="H34" s="121" t="s">
        <v>127</v>
      </c>
      <c r="I34" s="121" t="s">
        <v>104</v>
      </c>
      <c r="J34" s="121" t="s">
        <v>100</v>
      </c>
      <c r="K34" s="121" t="s">
        <v>98</v>
      </c>
      <c r="L34" s="121" t="s">
        <v>104</v>
      </c>
      <c r="M34" s="121" t="s">
        <v>97</v>
      </c>
      <c r="N34" s="121" t="s">
        <v>135</v>
      </c>
      <c r="O34" s="121" t="s">
        <v>127</v>
      </c>
      <c r="P34" s="121" t="s">
        <v>97</v>
      </c>
      <c r="Q34" s="121" t="s">
        <v>127</v>
      </c>
      <c r="R34" s="121"/>
      <c r="S34" s="121"/>
      <c r="T34" s="121"/>
      <c r="U34" s="121"/>
      <c r="V34" s="121"/>
      <c r="W34" s="121"/>
      <c r="X34" s="121"/>
      <c r="Y34" s="121"/>
      <c r="Z34" s="121"/>
      <c r="AA34" s="122" t="s">
        <v>124</v>
      </c>
      <c r="AB34" s="122" t="s">
        <v>119</v>
      </c>
      <c r="AC34" s="122" t="s">
        <v>125</v>
      </c>
      <c r="AD34" s="122" t="s">
        <v>119</v>
      </c>
      <c r="AE34" s="122" t="s">
        <v>120</v>
      </c>
      <c r="AF34" s="122" t="s">
        <v>99</v>
      </c>
      <c r="AG34" s="122" t="s">
        <v>100</v>
      </c>
      <c r="AH34" s="122" t="s">
        <v>121</v>
      </c>
      <c r="AI34" s="122" t="s">
        <v>97</v>
      </c>
      <c r="AJ34" s="122" t="s">
        <v>126</v>
      </c>
      <c r="AK34" s="122" t="s">
        <v>96</v>
      </c>
      <c r="AL34" s="122" t="s">
        <v>135</v>
      </c>
      <c r="AM34" s="122" t="s">
        <v>104</v>
      </c>
      <c r="AN34" s="122" t="s">
        <v>103</v>
      </c>
      <c r="AO34" s="122" t="s">
        <v>103</v>
      </c>
      <c r="AP34" s="122"/>
      <c r="AQ34" s="122"/>
      <c r="AR34" s="122"/>
      <c r="AS34" s="122"/>
      <c r="AT34" s="122"/>
      <c r="AU34" s="122"/>
      <c r="AV34" s="122"/>
      <c r="AW34" s="122"/>
      <c r="AX34" s="122"/>
      <c r="AY34" s="121" t="s">
        <v>120</v>
      </c>
      <c r="AZ34" s="121" t="s">
        <v>103</v>
      </c>
      <c r="BA34" s="121" t="s">
        <v>122</v>
      </c>
      <c r="BB34" s="121" t="s">
        <v>120</v>
      </c>
      <c r="BC34" s="121" t="s">
        <v>119</v>
      </c>
      <c r="BD34" s="121" t="s">
        <v>119</v>
      </c>
      <c r="BE34" s="121" t="s">
        <v>119</v>
      </c>
      <c r="BF34" s="121" t="s">
        <v>126</v>
      </c>
      <c r="BG34" s="121" t="s">
        <v>118</v>
      </c>
      <c r="BH34" s="121" t="s">
        <v>119</v>
      </c>
      <c r="BI34" s="121" t="s">
        <v>103</v>
      </c>
      <c r="BJ34" s="121" t="s">
        <v>135</v>
      </c>
      <c r="BK34" s="121" t="s">
        <v>126</v>
      </c>
      <c r="BL34" s="121" t="s">
        <v>118</v>
      </c>
      <c r="BM34" s="121" t="s">
        <v>102</v>
      </c>
      <c r="BN34" s="121" t="s">
        <v>143</v>
      </c>
      <c r="BO34" s="121"/>
      <c r="BP34" s="121" t="s">
        <v>144</v>
      </c>
      <c r="BQ34" s="121"/>
      <c r="BR34" s="121"/>
      <c r="BS34" s="121"/>
      <c r="BT34" s="121"/>
      <c r="BU34" s="121"/>
      <c r="BV34" s="121"/>
      <c r="BW34" s="122" t="s">
        <v>121</v>
      </c>
      <c r="BX34" s="122" t="s">
        <v>125</v>
      </c>
      <c r="BY34" s="122" t="s">
        <v>124</v>
      </c>
      <c r="BZ34" s="122" t="s">
        <v>119</v>
      </c>
      <c r="CA34" s="122" t="s">
        <v>123</v>
      </c>
      <c r="CB34" s="122" t="s">
        <v>123</v>
      </c>
      <c r="CC34" s="122" t="s">
        <v>126</v>
      </c>
      <c r="CD34" s="122" t="s">
        <v>104</v>
      </c>
      <c r="CE34" s="122" t="s">
        <v>97</v>
      </c>
      <c r="CF34" s="122" t="s">
        <v>97</v>
      </c>
      <c r="CG34" s="122" t="s">
        <v>98</v>
      </c>
      <c r="CH34" s="122" t="s">
        <v>135</v>
      </c>
      <c r="CI34" s="122" t="s">
        <v>98</v>
      </c>
      <c r="CJ34" s="122" t="s">
        <v>98</v>
      </c>
      <c r="CK34" s="122" t="s">
        <v>98</v>
      </c>
      <c r="CL34" s="122"/>
      <c r="CM34" s="122"/>
      <c r="CN34" s="122"/>
      <c r="CO34" s="122"/>
      <c r="CP34" s="122" t="s">
        <v>146</v>
      </c>
      <c r="CQ34" s="122" t="s">
        <v>146</v>
      </c>
      <c r="CR34" s="122" t="s">
        <v>145</v>
      </c>
      <c r="CS34" s="122" t="s">
        <v>145</v>
      </c>
      <c r="CT34" s="122" t="s">
        <v>145</v>
      </c>
      <c r="CU34" s="121" t="s">
        <v>123</v>
      </c>
      <c r="CV34" s="121" t="s">
        <v>97</v>
      </c>
      <c r="CW34" s="121" t="s">
        <v>100</v>
      </c>
      <c r="CX34" s="121" t="s">
        <v>126</v>
      </c>
      <c r="CY34" s="121" t="s">
        <v>99</v>
      </c>
      <c r="CZ34" s="121" t="s">
        <v>120</v>
      </c>
      <c r="DA34" s="121" t="s">
        <v>120</v>
      </c>
      <c r="DB34" s="121" t="s">
        <v>120</v>
      </c>
      <c r="DC34" s="121" t="s">
        <v>118</v>
      </c>
      <c r="DD34" s="121" t="s">
        <v>120</v>
      </c>
      <c r="DE34" s="121" t="s">
        <v>102</v>
      </c>
      <c r="DF34" s="121" t="s">
        <v>135</v>
      </c>
      <c r="DG34" s="121" t="s">
        <v>97</v>
      </c>
      <c r="DH34" s="121" t="s">
        <v>102</v>
      </c>
      <c r="DI34" s="121" t="s">
        <v>97</v>
      </c>
      <c r="DJ34" s="121"/>
      <c r="DK34" s="121"/>
      <c r="DL34" s="121"/>
      <c r="DM34" s="121"/>
      <c r="DN34" s="121"/>
      <c r="DO34" s="121"/>
      <c r="DP34" s="121"/>
      <c r="DQ34" s="121"/>
      <c r="DR34" s="121"/>
      <c r="DS34" s="122" t="s">
        <v>97</v>
      </c>
      <c r="DT34" s="122" t="s">
        <v>97</v>
      </c>
      <c r="DU34" s="122" t="s">
        <v>102</v>
      </c>
      <c r="DV34" s="122" t="s">
        <v>104</v>
      </c>
      <c r="DW34" s="122" t="s">
        <v>96</v>
      </c>
      <c r="DX34" s="122" t="s">
        <v>97</v>
      </c>
      <c r="DY34" s="122" t="s">
        <v>96</v>
      </c>
      <c r="DZ34" s="122" t="s">
        <v>100</v>
      </c>
      <c r="EA34" s="122" t="s">
        <v>97</v>
      </c>
      <c r="EB34" s="122" t="s">
        <v>98</v>
      </c>
      <c r="EC34" s="122" t="s">
        <v>97</v>
      </c>
      <c r="ED34" s="122" t="s">
        <v>135</v>
      </c>
      <c r="EE34" s="122" t="s">
        <v>102</v>
      </c>
      <c r="EF34" s="122" t="s">
        <v>96</v>
      </c>
      <c r="EG34" s="122" t="s">
        <v>97</v>
      </c>
      <c r="EH34" s="122"/>
      <c r="EI34" s="122"/>
      <c r="EJ34" s="122"/>
      <c r="EK34" s="122"/>
      <c r="EL34" s="122"/>
      <c r="EM34" s="122"/>
      <c r="EN34" s="122"/>
      <c r="EO34" s="122"/>
      <c r="EP34" s="122"/>
      <c r="EQ34" s="121" t="s">
        <v>98</v>
      </c>
      <c r="ER34" s="121" t="s">
        <v>102</v>
      </c>
      <c r="ES34" s="121" t="s">
        <v>99</v>
      </c>
      <c r="ET34" s="121" t="s">
        <v>98</v>
      </c>
      <c r="EU34" s="121" t="s">
        <v>98</v>
      </c>
      <c r="EV34" s="121" t="s">
        <v>100</v>
      </c>
      <c r="EW34" s="121" t="s">
        <v>99</v>
      </c>
      <c r="EX34" s="121" t="s">
        <v>99</v>
      </c>
      <c r="EY34" s="121" t="s">
        <v>101</v>
      </c>
      <c r="EZ34" s="121" t="s">
        <v>101</v>
      </c>
      <c r="FA34" s="121" t="s">
        <v>97</v>
      </c>
      <c r="FB34" s="121" t="s">
        <v>135</v>
      </c>
      <c r="FC34" s="121" t="s">
        <v>96</v>
      </c>
      <c r="FD34" s="121" t="s">
        <v>104</v>
      </c>
      <c r="FE34" s="121" t="s">
        <v>104</v>
      </c>
      <c r="FF34" s="121" t="s">
        <v>145</v>
      </c>
      <c r="FG34" s="121"/>
      <c r="FH34" s="121" t="s">
        <v>146</v>
      </c>
      <c r="FI34" s="121"/>
      <c r="FJ34" s="121"/>
      <c r="FK34" s="121"/>
      <c r="FL34" s="121"/>
      <c r="FM34" s="121"/>
      <c r="FN34" s="121"/>
      <c r="FO34" s="122" t="s">
        <v>97</v>
      </c>
      <c r="FP34" s="122" t="s">
        <v>127</v>
      </c>
      <c r="FQ34" s="122" t="s">
        <v>127</v>
      </c>
      <c r="FR34" s="122" t="s">
        <v>103</v>
      </c>
      <c r="FS34" s="122" t="s">
        <v>101</v>
      </c>
      <c r="FT34" s="122" t="s">
        <v>97</v>
      </c>
      <c r="FU34" s="122" t="s">
        <v>104</v>
      </c>
      <c r="FV34" s="122" t="s">
        <v>100</v>
      </c>
      <c r="FW34" s="122" t="s">
        <v>98</v>
      </c>
      <c r="FX34" s="122" t="s">
        <v>104</v>
      </c>
      <c r="FY34" s="122" t="s">
        <v>97</v>
      </c>
      <c r="FZ34" s="122" t="s">
        <v>135</v>
      </c>
      <c r="GA34" s="122" t="s">
        <v>127</v>
      </c>
      <c r="GB34" s="122" t="s">
        <v>102</v>
      </c>
      <c r="GC34" s="122" t="s">
        <v>102</v>
      </c>
      <c r="GD34" s="122"/>
      <c r="GE34" s="122"/>
      <c r="GF34" s="122"/>
      <c r="GG34" s="122"/>
      <c r="GH34" s="122"/>
      <c r="GI34" s="122"/>
      <c r="GJ34" s="122"/>
      <c r="GK34" s="122"/>
      <c r="GL34" s="122"/>
      <c r="GM34" s="121" t="s">
        <v>119</v>
      </c>
      <c r="GN34" s="121" t="s">
        <v>118</v>
      </c>
      <c r="GO34" s="121" t="s">
        <v>125</v>
      </c>
      <c r="GP34" s="121" t="s">
        <v>100</v>
      </c>
      <c r="GQ34" s="121" t="s">
        <v>120</v>
      </c>
      <c r="GR34" s="121" t="s">
        <v>99</v>
      </c>
      <c r="GS34" s="121" t="s">
        <v>127</v>
      </c>
      <c r="GT34" s="121" t="s">
        <v>99</v>
      </c>
      <c r="GU34" s="121" t="s">
        <v>97</v>
      </c>
      <c r="GV34" s="121" t="s">
        <v>126</v>
      </c>
      <c r="GW34" s="121" t="s">
        <v>104</v>
      </c>
      <c r="GX34" s="121" t="s">
        <v>135</v>
      </c>
      <c r="GY34" s="121" t="s">
        <v>125</v>
      </c>
      <c r="GZ34" s="121" t="s">
        <v>124</v>
      </c>
      <c r="HA34" s="121" t="s">
        <v>127</v>
      </c>
      <c r="HB34" s="121"/>
      <c r="HC34" s="121"/>
      <c r="HD34" s="121"/>
      <c r="HE34" s="121"/>
      <c r="HF34" s="121"/>
      <c r="HG34" s="121"/>
      <c r="HH34" s="121"/>
      <c r="HI34" s="121"/>
      <c r="HJ34" s="121"/>
      <c r="HK34" s="122" t="s">
        <v>120</v>
      </c>
      <c r="HL34" s="122" t="s">
        <v>103</v>
      </c>
      <c r="HM34" s="122" t="s">
        <v>122</v>
      </c>
      <c r="HN34" s="122" t="s">
        <v>120</v>
      </c>
      <c r="HO34" s="122" t="s">
        <v>127</v>
      </c>
      <c r="HP34" s="122" t="s">
        <v>123</v>
      </c>
      <c r="HQ34" s="122" t="s">
        <v>119</v>
      </c>
      <c r="HR34" s="122" t="s">
        <v>126</v>
      </c>
      <c r="HS34" s="122" t="s">
        <v>97</v>
      </c>
      <c r="HT34" s="122" t="s">
        <v>102</v>
      </c>
      <c r="HU34" s="122" t="s">
        <v>103</v>
      </c>
      <c r="HV34" s="122" t="s">
        <v>135</v>
      </c>
      <c r="HW34" s="122" t="s">
        <v>126</v>
      </c>
      <c r="HX34" s="122" t="s">
        <v>97</v>
      </c>
      <c r="HY34" s="122" t="s">
        <v>125</v>
      </c>
      <c r="HZ34" s="122" t="s">
        <v>143</v>
      </c>
      <c r="IA34" s="122"/>
      <c r="IB34" s="122" t="s">
        <v>144</v>
      </c>
      <c r="IC34" s="122"/>
      <c r="ID34" s="122"/>
      <c r="IE34" s="122"/>
      <c r="IF34" s="122"/>
      <c r="IG34" s="122"/>
      <c r="IH34" s="122"/>
      <c r="II34" s="121" t="s">
        <v>99</v>
      </c>
      <c r="IJ34" s="121" t="s">
        <v>125</v>
      </c>
      <c r="IK34" s="121" t="s">
        <v>103</v>
      </c>
      <c r="IL34" s="121" t="s">
        <v>102</v>
      </c>
      <c r="IM34" s="121" t="s">
        <v>123</v>
      </c>
      <c r="IN34" s="121" t="s">
        <v>101</v>
      </c>
      <c r="IO34" s="121" t="s">
        <v>126</v>
      </c>
      <c r="IP34" s="121" t="s">
        <v>118</v>
      </c>
      <c r="IQ34" s="121" t="s">
        <v>119</v>
      </c>
      <c r="IR34" s="121" t="s">
        <v>97</v>
      </c>
      <c r="IS34" s="121" t="s">
        <v>98</v>
      </c>
      <c r="IT34" s="121" t="s">
        <v>135</v>
      </c>
      <c r="IU34" s="121" t="s">
        <v>98</v>
      </c>
      <c r="IV34" s="121" t="s">
        <v>98</v>
      </c>
      <c r="IW34" s="121" t="s">
        <v>98</v>
      </c>
      <c r="IX34" s="121"/>
      <c r="IY34" s="121"/>
      <c r="IZ34" s="121"/>
      <c r="JA34" s="121"/>
      <c r="JB34" s="121" t="s">
        <v>146</v>
      </c>
      <c r="JC34" s="121" t="s">
        <v>146</v>
      </c>
      <c r="JD34" s="121" t="s">
        <v>145</v>
      </c>
      <c r="JE34" s="121" t="s">
        <v>145</v>
      </c>
      <c r="JF34" s="121" t="s">
        <v>145</v>
      </c>
      <c r="JG34" s="122" t="s">
        <v>123</v>
      </c>
      <c r="JH34" s="122" t="s">
        <v>97</v>
      </c>
      <c r="JI34" s="122" t="s">
        <v>100</v>
      </c>
      <c r="JJ34" s="122" t="s">
        <v>102</v>
      </c>
      <c r="JK34" s="122" t="s">
        <v>99</v>
      </c>
      <c r="JL34" s="122" t="s">
        <v>120</v>
      </c>
      <c r="JM34" s="122" t="s">
        <v>120</v>
      </c>
      <c r="JN34" s="122" t="s">
        <v>120</v>
      </c>
      <c r="JO34" s="122" t="s">
        <v>98</v>
      </c>
      <c r="JP34" s="122" t="s">
        <v>120</v>
      </c>
      <c r="JQ34" s="122" t="s">
        <v>102</v>
      </c>
      <c r="JR34" s="122" t="s">
        <v>135</v>
      </c>
      <c r="JS34" s="122" t="s">
        <v>97</v>
      </c>
      <c r="JT34" s="122" t="s">
        <v>103</v>
      </c>
      <c r="JU34" s="122" t="s">
        <v>97</v>
      </c>
      <c r="JV34" s="122"/>
      <c r="JW34" s="122"/>
      <c r="JX34" s="122"/>
      <c r="JY34" s="122"/>
      <c r="JZ34" s="122"/>
      <c r="KA34" s="122"/>
      <c r="KB34" s="122"/>
      <c r="KC34" s="122"/>
      <c r="KD34" s="122"/>
    </row>
    <row r="35" spans="1:290" ht="18" customHeight="1" x14ac:dyDescent="0.4">
      <c r="A35" s="146"/>
      <c r="B35" s="148"/>
      <c r="C35" s="128" t="str">
        <f>IFERROR(VLOOKUP(C34,教师安排!$A:$Y,C$2+1,FALSE),"")</f>
        <v>侯淑贤</v>
      </c>
      <c r="D35" s="128" t="str">
        <f>IFERROR(VLOOKUP(D34,教师安排!$A:$Y,D$2+1,FALSE),"")</f>
        <v>史振塞</v>
      </c>
      <c r="E35" s="128" t="str">
        <f>IFERROR(VLOOKUP(E34,教师安排!$A:$Y,E$2+1,FALSE),"")</f>
        <v>杨彬</v>
      </c>
      <c r="F35" s="128" t="str">
        <f>IFERROR(VLOOKUP(F34,教师安排!$A:$Y,F$2+1,FALSE),"")</f>
        <v>刘珊珊</v>
      </c>
      <c r="G35" s="128" t="str">
        <f>IFERROR(VLOOKUP(G34,教师安排!$A:$Y,G$2+1,FALSE),"")</f>
        <v>刘腾</v>
      </c>
      <c r="H35" s="128" t="str">
        <f>IFERROR(VLOOKUP(H34,教师安排!$A:$Y,H$2+1,FALSE),"")</f>
        <v>姜媛媛</v>
      </c>
      <c r="I35" s="128" t="str">
        <f>IFERROR(VLOOKUP(I34,教师安排!$A:$Y,I$2+1,FALSE),"")</f>
        <v>孙锦锦</v>
      </c>
      <c r="J35" s="128" t="str">
        <f>IFERROR(VLOOKUP(J34,教师安排!$A:$Y,J$2+1,FALSE),"")</f>
        <v>宋开元</v>
      </c>
      <c r="K35" s="128" t="str">
        <f>IFERROR(VLOOKUP(K34,教师安排!$A:$Y,K$2+1,FALSE),"")</f>
        <v>王灼</v>
      </c>
      <c r="L35" s="128" t="str">
        <f>IFERROR(VLOOKUP(L34,教师安排!$A:$Y,L$2+1,FALSE),"")</f>
        <v>孙秋杰</v>
      </c>
      <c r="M35" s="125" t="str">
        <f>IFERROR(VLOOKUP(M34,教师安排!$A:$Y,M$2+1,FALSE),"")</f>
        <v>范林林</v>
      </c>
      <c r="N35" s="125">
        <f>IFERROR(VLOOKUP(N34,教师安排!$A:$Y,N$2+1,FALSE),"")</f>
        <v>0</v>
      </c>
      <c r="O35" s="125" t="str">
        <f>IFERROR(VLOOKUP(O34,教师安排!$A:$Y,O$2+1,FALSE),"")</f>
        <v>王菲</v>
      </c>
      <c r="P35" s="125" t="str">
        <f>IFERROR(VLOOKUP(P34,教师安排!$A:$Y,P$2+1,FALSE),"")</f>
        <v>王露</v>
      </c>
      <c r="Q35" s="125" t="str">
        <f>IFERROR(VLOOKUP(Q34,教师安排!$A:$Y,Q$2+1,FALSE),"")</f>
        <v>路睿</v>
      </c>
      <c r="R35" s="125" t="str">
        <f>IFERROR(VLOOKUP(R34,教师安排!$A:$Y,R$2+1,FALSE),"")</f>
        <v/>
      </c>
      <c r="S35" s="125" t="str">
        <f>IFERROR(VLOOKUP(S34,教师安排!$A:$Y,S$2+1,FALSE),"")</f>
        <v/>
      </c>
      <c r="T35" s="125" t="str">
        <f>IFERROR(VLOOKUP(T34,教师安排!$A:$Y,T$2+1,FALSE),"")</f>
        <v/>
      </c>
      <c r="U35" s="125" t="str">
        <f>IFERROR(VLOOKUP(U34,教师安排!$A:$Y,U$2+1,FALSE),"")</f>
        <v/>
      </c>
      <c r="V35" s="125"/>
      <c r="W35" s="125" t="str">
        <f>IFERROR(VLOOKUP(W34,教师安排!$A:$Y,W$2+1,FALSE),"")</f>
        <v/>
      </c>
      <c r="X35" s="125" t="str">
        <f>IFERROR(VLOOKUP(X34,教师安排!$A:$Y,X$2+1,FALSE),"")</f>
        <v/>
      </c>
      <c r="Y35" s="125" t="str">
        <f>IFERROR(VLOOKUP(Y34,教师安排!$A:$Y,Y$2+1,FALSE),"")</f>
        <v/>
      </c>
      <c r="Z35" s="125" t="str">
        <f>IFERROR(VLOOKUP(Z34,教师安排!$A:$Y,Z$2+1,FALSE),"")</f>
        <v/>
      </c>
      <c r="AA35" s="129" t="str">
        <f>IFERROR(VLOOKUP(AA34,教师安排!$A:$Y,AA$2+1,FALSE),"")</f>
        <v>李雯</v>
      </c>
      <c r="AB35" s="129" t="str">
        <f>IFERROR(VLOOKUP(AB34,教师安排!$A:$Y,AB$2+1,FALSE),"")</f>
        <v>姚来朋</v>
      </c>
      <c r="AC35" s="129" t="str">
        <f>IFERROR(VLOOKUP(AC34,教师安排!$A:$Y,AC$2+1,FALSE),"")</f>
        <v>张雯皓</v>
      </c>
      <c r="AD35" s="129" t="str">
        <f>IFERROR(VLOOKUP(AD34,教师安排!$A:$Y,AD$2+1,FALSE),"")</f>
        <v>侯淑贤</v>
      </c>
      <c r="AE35" s="129" t="str">
        <f>IFERROR(VLOOKUP(AE34,教师安排!$A:$Y,AE$2+1,FALSE),"")</f>
        <v>王灼</v>
      </c>
      <c r="AF35" s="129" t="str">
        <f>IFERROR(VLOOKUP(AF34,教师安排!$A:$Y,AF$2+1,FALSE),"")</f>
        <v>孙存义</v>
      </c>
      <c r="AG35" s="129" t="str">
        <f>IFERROR(VLOOKUP(AG34,教师安排!$A:$Y,AG$2+1,FALSE),"")</f>
        <v>马崇庆</v>
      </c>
      <c r="AH35" s="129" t="str">
        <f>IFERROR(VLOOKUP(AH34,教师安排!$A:$Y,AH$2+1,FALSE),"")</f>
        <v>康波</v>
      </c>
      <c r="AI35" s="129" t="str">
        <f>IFERROR(VLOOKUP(AI34,教师安排!$A:$Y,AI$2+1,FALSE),"")</f>
        <v>赵雪敏</v>
      </c>
      <c r="AJ35" s="129" t="str">
        <f>IFERROR(VLOOKUP(AJ34,教师安排!$A:$Y,AJ$2+1,FALSE),"")</f>
        <v>孙秋杰</v>
      </c>
      <c r="AK35" s="126" t="str">
        <f>IFERROR(VLOOKUP(AK34,教师安排!$A:$Y,AK$2+1,FALSE),"")</f>
        <v>路睿</v>
      </c>
      <c r="AL35" s="126">
        <f>IFERROR(VLOOKUP(AL34,教师安排!$A:$Y,AL$2+1,FALSE),"")</f>
        <v>0</v>
      </c>
      <c r="AM35" s="126" t="str">
        <f>IFERROR(VLOOKUP(AM34,教师安排!$A:$Y,AM$2+1,FALSE),"")</f>
        <v>王硕</v>
      </c>
      <c r="AN35" s="126" t="str">
        <f>IFERROR(VLOOKUP(AN34,教师安排!$A:$Y,AN$2+1,FALSE),"")</f>
        <v>李浩然</v>
      </c>
      <c r="AO35" s="126" t="str">
        <f>IFERROR(VLOOKUP(AO34,教师安排!$A:$Y,AO$2+1,FALSE),"")</f>
        <v>张鑫</v>
      </c>
      <c r="AP35" s="126" t="str">
        <f>IFERROR(VLOOKUP(AP34,教师安排!$A:$Y,AP$2+1,FALSE),"")</f>
        <v/>
      </c>
      <c r="AQ35" s="126" t="str">
        <f>IFERROR(VLOOKUP(AQ34,教师安排!$A:$Y,AQ$2+1,FALSE),"")</f>
        <v/>
      </c>
      <c r="AR35" s="126" t="str">
        <f>IFERROR(VLOOKUP(AR34,教师安排!$A:$Y,AR$2+1,FALSE),"")</f>
        <v/>
      </c>
      <c r="AS35" s="126" t="str">
        <f>IFERROR(VLOOKUP(AS34,教师安排!$A:$Y,AS$2+1,FALSE),"")</f>
        <v/>
      </c>
      <c r="AT35" s="126"/>
      <c r="AU35" s="126" t="str">
        <f>IFERROR(VLOOKUP(AU34,教师安排!$A:$Y,AU$2+1,FALSE),"")</f>
        <v/>
      </c>
      <c r="AV35" s="126" t="str">
        <f>IFERROR(VLOOKUP(AV34,教师安排!$A:$Y,AV$2+1,FALSE),"")</f>
        <v/>
      </c>
      <c r="AW35" s="126" t="str">
        <f>IFERROR(VLOOKUP(AW34,教师安排!$A:$Y,AW$2+1,FALSE),"")</f>
        <v/>
      </c>
      <c r="AX35" s="126" t="str">
        <f>IFERROR(VLOOKUP(AX34,教师安排!$A:$Y,AX$2+1,FALSE),"")</f>
        <v/>
      </c>
      <c r="AY35" s="128" t="str">
        <f>IFERROR(VLOOKUP(AY34,教师安排!$A:$Y,AY$2+1,FALSE),"")</f>
        <v>岳/厉</v>
      </c>
      <c r="AZ35" s="128" t="str">
        <f>IFERROR(VLOOKUP(AZ34,教师安排!$A:$Y,AZ$2+1,FALSE),"")</f>
        <v>刘珊珊</v>
      </c>
      <c r="BA35" s="128" t="str">
        <f>IFERROR(VLOOKUP(BA34,教师安排!$A:$Y,BA$2+1,FALSE),"")</f>
        <v>宋开元</v>
      </c>
      <c r="BB35" s="128" t="str">
        <f>IFERROR(VLOOKUP(BB34,教师安排!$A:$Y,BB$2+1,FALSE),"")</f>
        <v>岳/厉</v>
      </c>
      <c r="BC35" s="128" t="str">
        <f>IFERROR(VLOOKUP(BC34,教师安排!$A:$Y,BC$2+1,FALSE),"")</f>
        <v>赵雪敏</v>
      </c>
      <c r="BD35" s="128" t="str">
        <f>IFERROR(VLOOKUP(BD34,教师安排!$A:$Y,BD$2+1,FALSE),"")</f>
        <v>王露</v>
      </c>
      <c r="BE35" s="128" t="str">
        <f>IFERROR(VLOOKUP(BE34,教师安排!$A:$Y,BE$2+1,FALSE),"")</f>
        <v>范林林</v>
      </c>
      <c r="BF35" s="128" t="str">
        <f>IFERROR(VLOOKUP(BF34,教师安排!$A:$Y,BF$2+1,FALSE),"")</f>
        <v>孙秋杰</v>
      </c>
      <c r="BG35" s="128" t="str">
        <f>IFERROR(VLOOKUP(BG34,教师安排!$A:$Y,BG$2+1,FALSE),"")</f>
        <v>张冰雪</v>
      </c>
      <c r="BH35" s="128" t="str">
        <f>IFERROR(VLOOKUP(BH34,教师安排!$A:$Y,BH$2+1,FALSE),"")</f>
        <v>孙娜</v>
      </c>
      <c r="BI35" s="128" t="str">
        <f>IFERROR(VLOOKUP(BI34,教师安排!$A:$Y,BI$2+1,FALSE),"")</f>
        <v>张雯皓</v>
      </c>
      <c r="BJ35" s="128">
        <f>IFERROR(VLOOKUP(BJ34,教师安排!$A:$Y,BJ$2+1,FALSE),"")</f>
        <v>0</v>
      </c>
      <c r="BK35" s="128" t="str">
        <f>IFERROR(VLOOKUP(BK34,教师安排!$A:$Y,BK$2+1,FALSE),"")</f>
        <v>王硕</v>
      </c>
      <c r="BL35" s="128" t="str">
        <f>IFERROR(VLOOKUP(BL34,教师安排!$A:$Y,BL$2+1,FALSE),"")</f>
        <v>姜媛媛</v>
      </c>
      <c r="BM35" s="128" t="str">
        <f>IFERROR(VLOOKUP(BM34,教师安排!$A:$Y,BM$2+1,FALSE),"")</f>
        <v>夏文杰</v>
      </c>
      <c r="BN35" s="128" t="str">
        <f>IFERROR(VLOOKUP(BN34,教师安排!$A:$Y,BN$2+1,FALSE),"")</f>
        <v>岳海霞</v>
      </c>
      <c r="BO35" s="128" t="str">
        <f>IFERROR(VLOOKUP(BO34,教师安排!$A:$Y,BO$2+1,FALSE),"")</f>
        <v/>
      </c>
      <c r="BP35" s="128" t="str">
        <f>IFERROR(VLOOKUP(BP34,教师安排!$A:$Y,BP$2+1,FALSE),"")</f>
        <v>厉彦龙</v>
      </c>
      <c r="BQ35" s="128" t="str">
        <f>IFERROR(VLOOKUP(BQ34,教师安排!$A:$Y,BQ$2+1,FALSE),"")</f>
        <v/>
      </c>
      <c r="BR35" s="128"/>
      <c r="BS35" s="128" t="str">
        <f>IFERROR(VLOOKUP(BS34,教师安排!$A:$Y,BS$2+1,FALSE),"")</f>
        <v/>
      </c>
      <c r="BT35" s="128" t="str">
        <f>IFERROR(VLOOKUP(BT34,教师安排!$A:$Y,BT$2+1,FALSE),"")</f>
        <v/>
      </c>
      <c r="BU35" s="128" t="str">
        <f>IFERROR(VLOOKUP(BU34,教师安排!$A:$Y,BU$2+1,FALSE),"")</f>
        <v/>
      </c>
      <c r="BV35" s="128" t="str">
        <f>IFERROR(VLOOKUP(BV34,教师安排!$A:$Y,BV$2+1,FALSE),"")</f>
        <v/>
      </c>
      <c r="BW35" s="129" t="str">
        <f>IFERROR(VLOOKUP(BW34,教师安排!$A:$Y,BW$2+1,FALSE),"")</f>
        <v>康波</v>
      </c>
      <c r="BX35" s="129" t="str">
        <f>IFERROR(VLOOKUP(BX34,教师安排!$A:$Y,BX$2+1,FALSE),"")</f>
        <v>刘珊珊</v>
      </c>
      <c r="BY35" s="129" t="str">
        <f>IFERROR(VLOOKUP(BY34,教师安排!$A:$Y,BY$2+1,FALSE),"")</f>
        <v>李雯</v>
      </c>
      <c r="BZ35" s="129" t="str">
        <f>IFERROR(VLOOKUP(BZ34,教师安排!$A:$Y,BZ$2+1,FALSE),"")</f>
        <v>侯淑贤</v>
      </c>
      <c r="CA35" s="129" t="str">
        <f>IFERROR(VLOOKUP(CA34,教师安排!$A:$Y,CA$2+1,FALSE),"")</f>
        <v>刘腾</v>
      </c>
      <c r="CB35" s="129" t="str">
        <f>IFERROR(VLOOKUP(CB34,教师安排!$A:$Y,CB$2+1,FALSE),"")</f>
        <v>蒋心言</v>
      </c>
      <c r="CC35" s="129" t="str">
        <f>IFERROR(VLOOKUP(CC34,教师安排!$A:$Y,CC$2+1,FALSE),"")</f>
        <v>孙锦锦</v>
      </c>
      <c r="CD35" s="129" t="str">
        <f>IFERROR(VLOOKUP(CD34,教师安排!$A:$Y,CD$2+1,FALSE),"")</f>
        <v>孙秋杰</v>
      </c>
      <c r="CE35" s="129" t="str">
        <f>IFERROR(VLOOKUP(CE34,教师安排!$A:$Y,CE$2+1,FALSE),"")</f>
        <v>赵雪敏</v>
      </c>
      <c r="CF35" s="129" t="str">
        <f>IFERROR(VLOOKUP(CF34,教师安排!$A:$Y,CF$2+1,FALSE),"")</f>
        <v>孙娜</v>
      </c>
      <c r="CG35" s="129" t="str">
        <f>IFERROR(VLOOKUP(CG34,教师安排!$A:$Y,CG$2+1,FALSE),"")</f>
        <v>王/宋/翟/胡</v>
      </c>
      <c r="CH35" s="129">
        <f>IFERROR(VLOOKUP(CH34,教师安排!$A:$Y,CH$2+1,FALSE),"")</f>
        <v>0</v>
      </c>
      <c r="CI35" s="129" t="str">
        <f>IFERROR(VLOOKUP(CI34,教师安排!$A:$Y,CI$2+1,FALSE),"")</f>
        <v>宋/韩/王</v>
      </c>
      <c r="CJ35" s="129" t="str">
        <f>IFERROR(VLOOKUP(CJ34,教师安排!$A:$Y,CJ$2+1,FALSE),"")</f>
        <v>翟/韩/王</v>
      </c>
      <c r="CK35" s="129" t="str">
        <f>IFERROR(VLOOKUP(CK34,教师安排!$A:$Y,CK$2+1,FALSE),"")</f>
        <v>胡/韩/王</v>
      </c>
      <c r="CL35" s="129" t="str">
        <f>IFERROR(VLOOKUP(CL34,教师安排!$A:$Y,CL$2+1,FALSE),"")</f>
        <v/>
      </c>
      <c r="CM35" s="129" t="str">
        <f>IFERROR(VLOOKUP(CM34,教师安排!$A:$Y,CM$2+1,FALSE),"")</f>
        <v/>
      </c>
      <c r="CN35" s="129" t="str">
        <f>IFERROR(VLOOKUP(CN34,教师安排!$A:$Y,CN$2+1,FALSE),"")</f>
        <v/>
      </c>
      <c r="CO35" s="129" t="str">
        <f>IFERROR(VLOOKUP(CO34,教师安排!$A:$Y,CO$2+1,FALSE),"")</f>
        <v/>
      </c>
      <c r="CP35" s="129" t="str">
        <f>IFERROR(VLOOKUP(CP34,教师安排!$A:$Y,CP$2+1,FALSE),"")</f>
        <v>王灼</v>
      </c>
      <c r="CQ35" s="129" t="str">
        <f>IFERROR(VLOOKUP(CQ34,教师安排!$A:$Y,CQ$2+1,FALSE),"")</f>
        <v>韩丽梅</v>
      </c>
      <c r="CR35" s="129" t="str">
        <f>IFERROR(VLOOKUP(CR34,教师安排!$A:$Y,CR$2+1,FALSE),"")</f>
        <v>宋平</v>
      </c>
      <c r="CS35" s="129" t="str">
        <f>IFERROR(VLOOKUP(CS34,教师安排!$A:$Y,CS$2+1,FALSE),"")</f>
        <v>翟淑玮</v>
      </c>
      <c r="CT35" s="129" t="str">
        <f>IFERROR(VLOOKUP(CT34,教师安排!$A:$Y,CT$2+1,FALSE),"")</f>
        <v>胡存想</v>
      </c>
      <c r="CU35" s="128" t="str">
        <f>IFERROR(VLOOKUP(CU34,教师安排!$A:$Y,CU$2+1,FALSE),"")</f>
        <v>周兴玲</v>
      </c>
      <c r="CV35" s="128" t="str">
        <f>IFERROR(VLOOKUP(CV34,教师安排!$A:$Y,CV$2+1,FALSE),"")</f>
        <v>姚来朋</v>
      </c>
      <c r="CW35" s="128" t="str">
        <f>IFERROR(VLOOKUP(CW34,教师安排!$A:$Y,CW$2+1,FALSE),"")</f>
        <v>宋开元</v>
      </c>
      <c r="CX35" s="128" t="str">
        <f>IFERROR(VLOOKUP(CX34,教师安排!$A:$Y,CX$2+1,FALSE),"")</f>
        <v>李会玲</v>
      </c>
      <c r="CY35" s="128" t="str">
        <f>IFERROR(VLOOKUP(CY34,教师安排!$A:$Y,CY$2+1,FALSE),"")</f>
        <v>孙存义</v>
      </c>
      <c r="CZ35" s="128" t="str">
        <f>IFERROR(VLOOKUP(CZ34,教师安排!$A:$Y,CZ$2+1,FALSE),"")</f>
        <v>翟淑玮</v>
      </c>
      <c r="DA35" s="128" t="str">
        <f>IFERROR(VLOOKUP(DA34,教师安排!$A:$Y,DA$2+1,FALSE),"")</f>
        <v>韩丽梅</v>
      </c>
      <c r="DB35" s="128" t="str">
        <f>IFERROR(VLOOKUP(DB34,教师安排!$A:$Y,DB$2+1,FALSE),"")</f>
        <v>宋平</v>
      </c>
      <c r="DC35" s="128" t="str">
        <f>IFERROR(VLOOKUP(DC34,教师安排!$A:$Y,DC$2+1,FALSE),"")</f>
        <v>张冰雪</v>
      </c>
      <c r="DD35" s="128" t="str">
        <f>IFERROR(VLOOKUP(DD34,教师安排!$A:$Y,DD$2+1,FALSE),"")</f>
        <v>胡存想</v>
      </c>
      <c r="DE35" s="128" t="str">
        <f>IFERROR(VLOOKUP(DE34,教师安排!$A:$Y,DE$2+1,FALSE),"")</f>
        <v>田凤美</v>
      </c>
      <c r="DF35" s="128">
        <f>IFERROR(VLOOKUP(DF34,教师安排!$A:$Y,DF$2+1,FALSE),"")</f>
        <v>0</v>
      </c>
      <c r="DG35" s="128" t="str">
        <f>IFERROR(VLOOKUP(DG34,教师安排!$A:$Y,DG$2+1,FALSE),"")</f>
        <v>范林林</v>
      </c>
      <c r="DH35" s="128" t="str">
        <f>IFERROR(VLOOKUP(DH34,教师安排!$A:$Y,DH$2+1,FALSE),"")</f>
        <v>董艳华</v>
      </c>
      <c r="DI35" s="128" t="str">
        <f>IFERROR(VLOOKUP(DI34,教师安排!$A:$Y,DI$2+1,FALSE),"")</f>
        <v>高文凤</v>
      </c>
      <c r="DJ35" s="128" t="str">
        <f>IFERROR(VLOOKUP(DJ34,教师安排!$A:$Y,DJ$2+1,FALSE),"")</f>
        <v/>
      </c>
      <c r="DK35" s="128" t="str">
        <f>IFERROR(VLOOKUP(DK34,教师安排!$A:$Y,DK$2+1,FALSE),"")</f>
        <v/>
      </c>
      <c r="DL35" s="128" t="str">
        <f>IFERROR(VLOOKUP(DL34,教师安排!$A:$Y,DL$2+1,FALSE),"")</f>
        <v/>
      </c>
      <c r="DM35" s="128" t="str">
        <f>IFERROR(VLOOKUP(DM34,教师安排!$A:$Y,DM$2+1,FALSE),"")</f>
        <v/>
      </c>
      <c r="DN35" s="128"/>
      <c r="DO35" s="128" t="str">
        <f>IFERROR(VLOOKUP(DO34,教师安排!$A:$Y,DO$2+1,FALSE),"")</f>
        <v/>
      </c>
      <c r="DP35" s="128" t="str">
        <f>IFERROR(VLOOKUP(DP34,教师安排!$A:$Y,DP$2+1,FALSE),"")</f>
        <v/>
      </c>
      <c r="DQ35" s="128" t="str">
        <f>IFERROR(VLOOKUP(DQ34,教师安排!$A:$Y,DQ$2+1,FALSE),"")</f>
        <v/>
      </c>
      <c r="DR35" s="128" t="str">
        <f>IFERROR(VLOOKUP(DR34,教师安排!$A:$Y,DR$2+1,FALSE),"")</f>
        <v/>
      </c>
      <c r="DS35" s="124" t="str">
        <f>IFERROR(VLOOKUP(DS34,教师安排!$A:$Y,DS$2+1,FALSE),"")</f>
        <v>侯淑贤</v>
      </c>
      <c r="DT35" s="124" t="str">
        <f>IFERROR(VLOOKUP(DT34,教师安排!$A:$Y,DT$2+1,FALSE),"")</f>
        <v>姚来朋</v>
      </c>
      <c r="DU35" s="124" t="str">
        <f>IFERROR(VLOOKUP(DU34,教师安排!$A:$Y,DU$2+1,FALSE),"")</f>
        <v>李雯</v>
      </c>
      <c r="DV35" s="124" t="str">
        <f>IFERROR(VLOOKUP(DV34,教师安排!$A:$Y,DV$2+1,FALSE),"")</f>
        <v>李会玲</v>
      </c>
      <c r="DW35" s="124" t="str">
        <f>IFERROR(VLOOKUP(DW34,教师安排!$A:$Y,DW$2+1,FALSE),"")</f>
        <v>张冰雪</v>
      </c>
      <c r="DX35" s="124" t="str">
        <f>IFERROR(VLOOKUP(DX34,教师安排!$A:$Y,DX$2+1,FALSE),"")</f>
        <v>王露</v>
      </c>
      <c r="DY35" s="124" t="str">
        <f>IFERROR(VLOOKUP(DY34,教师安排!$A:$Y,DY$2+1,FALSE),"")</f>
        <v>王雪莲</v>
      </c>
      <c r="DZ35" s="124" t="str">
        <f>IFERROR(VLOOKUP(DZ34,教师安排!$A:$Y,DZ$2+1,FALSE),"")</f>
        <v>宋开元</v>
      </c>
      <c r="EA35" s="124" t="str">
        <f>IFERROR(VLOOKUP(EA34,教师安排!$A:$Y,EA$2+1,FALSE),"")</f>
        <v>赵雪敏</v>
      </c>
      <c r="EB35" s="124" t="str">
        <f>IFERROR(VLOOKUP(EB34,教师安排!$A:$Y,EB$2+1,FALSE),"")</f>
        <v>胡存想</v>
      </c>
      <c r="EC35" s="124" t="str">
        <f>IFERROR(VLOOKUP(EC34,教师安排!$A:$Y,EC$2+1,FALSE),"")</f>
        <v>范林林</v>
      </c>
      <c r="ED35" s="124">
        <f>IFERROR(VLOOKUP(ED34,教师安排!$A:$Y,ED$2+1,FALSE),"")</f>
        <v>0</v>
      </c>
      <c r="EE35" s="124" t="str">
        <f>IFERROR(VLOOKUP(EE34,教师安排!$A:$Y,EE$2+1,FALSE),"")</f>
        <v>夏文杰</v>
      </c>
      <c r="EF35" s="124" t="str">
        <f>IFERROR(VLOOKUP(EF34,教师安排!$A:$Y,EF$2+1,FALSE),"")</f>
        <v>姜媛媛</v>
      </c>
      <c r="EG35" s="124" t="str">
        <f>IFERROR(VLOOKUP(EG34,教师安排!$A:$Y,EG$2+1,FALSE),"")</f>
        <v>高文凤</v>
      </c>
      <c r="EH35" s="124" t="str">
        <f>IFERROR(VLOOKUP(EH34,教师安排!$A:$Y,EH$2+1,FALSE),"")</f>
        <v/>
      </c>
      <c r="EI35" s="124" t="str">
        <f>IFERROR(VLOOKUP(EI34,教师安排!$A:$Y,EI$2+1,FALSE),"")</f>
        <v/>
      </c>
      <c r="EJ35" s="124" t="str">
        <f>IFERROR(VLOOKUP(EJ34,教师安排!$A:$Y,EJ$2+1,FALSE),"")</f>
        <v/>
      </c>
      <c r="EK35" s="124" t="str">
        <f>IFERROR(VLOOKUP(EK34,教师安排!$A:$Y,EK$2+1,FALSE),"")</f>
        <v/>
      </c>
      <c r="EL35" s="124"/>
      <c r="EM35" s="124" t="str">
        <f>IFERROR(VLOOKUP(EM34,教师安排!$A:$Y,EM$2+1,FALSE),"")</f>
        <v/>
      </c>
      <c r="EN35" s="124" t="str">
        <f>IFERROR(VLOOKUP(EN34,教师安排!$A:$Y,EN$2+1,FALSE),"")</f>
        <v/>
      </c>
      <c r="EO35" s="124" t="str">
        <f>IFERROR(VLOOKUP(EO34,教师安排!$A:$Y,EO$2+1,FALSE),"")</f>
        <v/>
      </c>
      <c r="EP35" s="124" t="str">
        <f>IFERROR(VLOOKUP(EP34,教师安排!$A:$Y,EP$2+1,FALSE),"")</f>
        <v/>
      </c>
      <c r="EQ35" s="123" t="str">
        <f>IFERROR(VLOOKUP(EQ34,教师安排!$A:$Y,EQ$2+1,FALSE),"")</f>
        <v>岳/厉</v>
      </c>
      <c r="ER35" s="123" t="str">
        <f>IFERROR(VLOOKUP(ER34,教师安排!$A:$Y,ER$2+1,FALSE),"")</f>
        <v>田凤美</v>
      </c>
      <c r="ES35" s="123" t="str">
        <f>IFERROR(VLOOKUP(ES34,教师安排!$A:$Y,ES$2+1,FALSE),"")</f>
        <v>张雨晴</v>
      </c>
      <c r="ET35" s="123" t="str">
        <f>IFERROR(VLOOKUP(ET34,教师安排!$A:$Y,ET$2+1,FALSE),"")</f>
        <v>岳/厉</v>
      </c>
      <c r="EU35" s="123" t="str">
        <f>IFERROR(VLOOKUP(EU34,教师安排!$A:$Y,EU$2+1,FALSE),"")</f>
        <v>王灼</v>
      </c>
      <c r="EV35" s="123" t="str">
        <f>IFERROR(VLOOKUP(EV34,教师安排!$A:$Y,EV$2+1,FALSE),"")</f>
        <v>李振铎</v>
      </c>
      <c r="EW35" s="123" t="str">
        <f>IFERROR(VLOOKUP(EW34,教师安排!$A:$Y,EW$2+1,FALSE),"")</f>
        <v>孙存义</v>
      </c>
      <c r="EX35" s="123" t="str">
        <f>IFERROR(VLOOKUP(EX34,教师安排!$A:$Y,EX$2+1,FALSE),"")</f>
        <v>康波</v>
      </c>
      <c r="EY35" s="123" t="str">
        <f>IFERROR(VLOOKUP(EY34,教师安排!$A:$Y,EY$2+1,FALSE),"")</f>
        <v>刘腾</v>
      </c>
      <c r="EZ35" s="123" t="str">
        <f>IFERROR(VLOOKUP(EZ34,教师安排!$A:$Y,EZ$2+1,FALSE),"")</f>
        <v>蒋心言</v>
      </c>
      <c r="FA35" s="123" t="str">
        <f>IFERROR(VLOOKUP(FA34,教师安排!$A:$Y,FA$2+1,FALSE),"")</f>
        <v>范林林</v>
      </c>
      <c r="FB35" s="123">
        <f>IFERROR(VLOOKUP(FB34,教师安排!$A:$Y,FB$2+1,FALSE),"")</f>
        <v>0</v>
      </c>
      <c r="FC35" s="123" t="str">
        <f>IFERROR(VLOOKUP(FC34,教师安排!$A:$Y,FC$2+1,FALSE),"")</f>
        <v>王菲</v>
      </c>
      <c r="FD35" s="123" t="str">
        <f>IFERROR(VLOOKUP(FD34,教师安排!$A:$Y,FD$2+1,FALSE),"")</f>
        <v>孙锦锦</v>
      </c>
      <c r="FE35" s="123" t="str">
        <f>IFERROR(VLOOKUP(FE34,教师安排!$A:$Y,FE$2+1,FALSE),"")</f>
        <v>孙秋杰</v>
      </c>
      <c r="FF35" s="123" t="str">
        <f>IFERROR(VLOOKUP(FF34,教师安排!$A:$Y,FF$2+1,FALSE),"")</f>
        <v>岳海霞</v>
      </c>
      <c r="FG35" s="123" t="str">
        <f>IFERROR(VLOOKUP(FG34,教师安排!$A:$Y,FG$2+1,FALSE),"")</f>
        <v/>
      </c>
      <c r="FH35" s="123" t="str">
        <f>IFERROR(VLOOKUP(FH34,教师安排!$A:$Y,FH$2+1,FALSE),"")</f>
        <v>厉彦龙</v>
      </c>
      <c r="FI35" s="123" t="str">
        <f>IFERROR(VLOOKUP(FI34,教师安排!$A:$Y,FI$2+1,FALSE),"")</f>
        <v/>
      </c>
      <c r="FJ35" s="123"/>
      <c r="FK35" s="123" t="str">
        <f>IFERROR(VLOOKUP(FK34,教师安排!$A:$Y,FK$2+1,FALSE),"")</f>
        <v/>
      </c>
      <c r="FL35" s="123" t="str">
        <f>IFERROR(VLOOKUP(FL34,教师安排!$A:$Y,FL$2+1,FALSE),"")</f>
        <v/>
      </c>
      <c r="FM35" s="123" t="str">
        <f>IFERROR(VLOOKUP(FM34,教师安排!$A:$Y,FM$2+1,FALSE),"")</f>
        <v/>
      </c>
      <c r="FN35" s="123" t="str">
        <f>IFERROR(VLOOKUP(FN34,教师安排!$A:$Y,FN$2+1,FALSE),"")</f>
        <v/>
      </c>
      <c r="FO35" s="129" t="str">
        <f>IFERROR(VLOOKUP(FO34,教师安排!$A:$Y,FO$2+1,FALSE),"")</f>
        <v>侯淑贤</v>
      </c>
      <c r="FP35" s="129" t="str">
        <f>IFERROR(VLOOKUP(FP34,教师安排!$A:$Y,FP$2+1,FALSE),"")</f>
        <v>史振塞</v>
      </c>
      <c r="FQ35" s="129" t="str">
        <f>IFERROR(VLOOKUP(FQ34,教师安排!$A:$Y,FQ$2+1,FALSE),"")</f>
        <v>杨彬</v>
      </c>
      <c r="FR35" s="129" t="str">
        <f>IFERROR(VLOOKUP(FR34,教师安排!$A:$Y,FR$2+1,FALSE),"")</f>
        <v>刘珊珊</v>
      </c>
      <c r="FS35" s="129" t="str">
        <f>IFERROR(VLOOKUP(FS34,教师安排!$A:$Y,FS$2+1,FALSE),"")</f>
        <v>刘腾</v>
      </c>
      <c r="FT35" s="129" t="str">
        <f>IFERROR(VLOOKUP(FT34,教师安排!$A:$Y,FT$2+1,FALSE),"")</f>
        <v>王露</v>
      </c>
      <c r="FU35" s="129" t="str">
        <f>IFERROR(VLOOKUP(FU34,教师安排!$A:$Y,FU$2+1,FALSE),"")</f>
        <v>孙锦锦</v>
      </c>
      <c r="FV35" s="129" t="str">
        <f>IFERROR(VLOOKUP(FV34,教师安排!$A:$Y,FV$2+1,FALSE),"")</f>
        <v>宋开元</v>
      </c>
      <c r="FW35" s="129" t="str">
        <f>IFERROR(VLOOKUP(FW34,教师安排!$A:$Y,FW$2+1,FALSE),"")</f>
        <v>王灼</v>
      </c>
      <c r="FX35" s="129" t="str">
        <f>IFERROR(VLOOKUP(FX34,教师安排!$A:$Y,FX$2+1,FALSE),"")</f>
        <v>孙秋杰</v>
      </c>
      <c r="FY35" s="129" t="str">
        <f>IFERROR(VLOOKUP(FY34,教师安排!$A:$Y,FY$2+1,FALSE),"")</f>
        <v>范林林</v>
      </c>
      <c r="FZ35" s="129">
        <f>IFERROR(VLOOKUP(FZ34,教师安排!$A:$Y,FZ$2+1,FALSE),"")</f>
        <v>0</v>
      </c>
      <c r="GA35" s="129" t="str">
        <f>IFERROR(VLOOKUP(GA34,教师安排!$A:$Y,GA$2+1,FALSE),"")</f>
        <v>王菲</v>
      </c>
      <c r="GB35" s="129" t="str">
        <f>IFERROR(VLOOKUP(GB34,教师安排!$A:$Y,GB$2+1,FALSE),"")</f>
        <v>董艳华</v>
      </c>
      <c r="GC35" s="129" t="str">
        <f>IFERROR(VLOOKUP(GC34,教师安排!$A:$Y,GC$2+1,FALSE),"")</f>
        <v>夏文杰</v>
      </c>
      <c r="GD35" s="129" t="str">
        <f>IFERROR(VLOOKUP(GD34,教师安排!$A:$Y,GD$2+1,FALSE),"")</f>
        <v/>
      </c>
      <c r="GE35" s="129" t="str">
        <f>IFERROR(VLOOKUP(GE34,教师安排!$A:$Y,GE$2+1,FALSE),"")</f>
        <v/>
      </c>
      <c r="GF35" s="129" t="str">
        <f>IFERROR(VLOOKUP(GF34,教师安排!$A:$Y,GF$2+1,FALSE),"")</f>
        <v/>
      </c>
      <c r="GG35" s="129" t="str">
        <f>IFERROR(VLOOKUP(GG34,教师安排!$A:$Y,GG$2+1,FALSE),"")</f>
        <v/>
      </c>
      <c r="GH35" s="129"/>
      <c r="GI35" s="129" t="str">
        <f>IFERROR(VLOOKUP(GI34,教师安排!$A:$Y,GI$2+1,FALSE),"")</f>
        <v/>
      </c>
      <c r="GJ35" s="129" t="str">
        <f>IFERROR(VLOOKUP(GJ34,教师安排!$A:$Y,GJ$2+1,FALSE),"")</f>
        <v/>
      </c>
      <c r="GK35" s="129" t="str">
        <f>IFERROR(VLOOKUP(GK34,教师安排!$A:$Y,GK$2+1,FALSE),"")</f>
        <v/>
      </c>
      <c r="GL35" s="129" t="str">
        <f>IFERROR(VLOOKUP(GL34,教师安排!$A:$Y,GL$2+1,FALSE),"")</f>
        <v/>
      </c>
      <c r="GM35" s="128" t="str">
        <f>IFERROR(VLOOKUP(GM34,教师安排!$A:$Y,GM$2+1,FALSE),"")</f>
        <v>侯淑贤</v>
      </c>
      <c r="GN35" s="128" t="str">
        <f>IFERROR(VLOOKUP(GN34,教师安排!$A:$Y,GN$2+1,FALSE),"")</f>
        <v>史振塞</v>
      </c>
      <c r="GO35" s="128" t="str">
        <f>IFERROR(VLOOKUP(GO34,教师安排!$A:$Y,GO$2+1,FALSE),"")</f>
        <v>张雯皓</v>
      </c>
      <c r="GP35" s="128" t="str">
        <f>IFERROR(VLOOKUP(GP34,教师安排!$A:$Y,GP$2+1,FALSE),"")</f>
        <v>马崇庆</v>
      </c>
      <c r="GQ35" s="128" t="str">
        <f>IFERROR(VLOOKUP(GQ34,教师安排!$A:$Y,GQ$2+1,FALSE),"")</f>
        <v>王灼</v>
      </c>
      <c r="GR35" s="128" t="str">
        <f>IFERROR(VLOOKUP(GR34,教师安排!$A:$Y,GR$2+1,FALSE),"")</f>
        <v>孙存义</v>
      </c>
      <c r="GS35" s="128" t="str">
        <f>IFERROR(VLOOKUP(GS34,教师安排!$A:$Y,GS$2+1,FALSE),"")</f>
        <v>王雪莲</v>
      </c>
      <c r="GT35" s="128" t="str">
        <f>IFERROR(VLOOKUP(GT34,教师安排!$A:$Y,GT$2+1,FALSE),"")</f>
        <v>康波</v>
      </c>
      <c r="GU35" s="128" t="str">
        <f>IFERROR(VLOOKUP(GU34,教师安排!$A:$Y,GU$2+1,FALSE),"")</f>
        <v>赵雪敏</v>
      </c>
      <c r="GV35" s="128" t="str">
        <f>IFERROR(VLOOKUP(GV34,教师安排!$A:$Y,GV$2+1,FALSE),"")</f>
        <v>孙秋杰</v>
      </c>
      <c r="GW35" s="128" t="str">
        <f>IFERROR(VLOOKUP(GW34,教师安排!$A:$Y,GW$2+1,FALSE),"")</f>
        <v>孙锦锦</v>
      </c>
      <c r="GX35" s="128">
        <f>IFERROR(VLOOKUP(GX34,教师安排!$A:$Y,GX$2+1,FALSE),"")</f>
        <v>0</v>
      </c>
      <c r="GY35" s="128" t="str">
        <f>IFERROR(VLOOKUP(GY34,教师安排!$A:$Y,GY$2+1,FALSE),"")</f>
        <v>李浩然</v>
      </c>
      <c r="GZ35" s="128" t="str">
        <f>IFERROR(VLOOKUP(GZ34,教师安排!$A:$Y,GZ$2+1,FALSE),"")</f>
        <v>董艳华</v>
      </c>
      <c r="HA35" s="128" t="str">
        <f>IFERROR(VLOOKUP(HA34,教师安排!$A:$Y,HA$2+1,FALSE),"")</f>
        <v>路睿</v>
      </c>
      <c r="HB35" s="128" t="str">
        <f>IFERROR(VLOOKUP(HB34,教师安排!$A:$Y,HB$2+1,FALSE),"")</f>
        <v/>
      </c>
      <c r="HC35" s="128" t="str">
        <f>IFERROR(VLOOKUP(HC34,教师安排!$A:$Y,HC$2+1,FALSE),"")</f>
        <v/>
      </c>
      <c r="HD35" s="128" t="str">
        <f>IFERROR(VLOOKUP(HD34,教师安排!$A:$Y,HD$2+1,FALSE),"")</f>
        <v/>
      </c>
      <c r="HE35" s="128" t="str">
        <f>IFERROR(VLOOKUP(HE34,教师安排!$A:$Y,HE$2+1,FALSE),"")</f>
        <v/>
      </c>
      <c r="HF35" s="128"/>
      <c r="HG35" s="128" t="str">
        <f>IFERROR(VLOOKUP(HG34,教师安排!$A:$Y,HG$2+1,FALSE),"")</f>
        <v/>
      </c>
      <c r="HH35" s="128" t="str">
        <f>IFERROR(VLOOKUP(HH34,教师安排!$A:$Y,HH$2+1,FALSE),"")</f>
        <v/>
      </c>
      <c r="HI35" s="128" t="str">
        <f>IFERROR(VLOOKUP(HI34,教师安排!$A:$Y,HI$2+1,FALSE),"")</f>
        <v/>
      </c>
      <c r="HJ35" s="128" t="str">
        <f>IFERROR(VLOOKUP(HJ34,教师安排!$A:$Y,HJ$2+1,FALSE),"")</f>
        <v/>
      </c>
      <c r="HK35" s="129" t="str">
        <f>IFERROR(VLOOKUP(HK34,教师安排!$A:$Y,HK$2+1,FALSE),"")</f>
        <v>岳/厉</v>
      </c>
      <c r="HL35" s="129" t="str">
        <f>IFERROR(VLOOKUP(HL34,教师安排!$A:$Y,HL$2+1,FALSE),"")</f>
        <v>刘珊珊</v>
      </c>
      <c r="HM35" s="129" t="str">
        <f>IFERROR(VLOOKUP(HM34,教师安排!$A:$Y,HM$2+1,FALSE),"")</f>
        <v>宋开元</v>
      </c>
      <c r="HN35" s="129" t="str">
        <f>IFERROR(VLOOKUP(HN34,教师安排!$A:$Y,HN$2+1,FALSE),"")</f>
        <v>岳/厉</v>
      </c>
      <c r="HO35" s="129" t="str">
        <f>IFERROR(VLOOKUP(HO34,教师安排!$A:$Y,HO$2+1,FALSE),"")</f>
        <v>张冰雪</v>
      </c>
      <c r="HP35" s="129" t="str">
        <f>IFERROR(VLOOKUP(HP34,教师安排!$A:$Y,HP$2+1,FALSE),"")</f>
        <v>蒋心言</v>
      </c>
      <c r="HQ35" s="129" t="str">
        <f>IFERROR(VLOOKUP(HQ34,教师安排!$A:$Y,HQ$2+1,FALSE),"")</f>
        <v>范林林</v>
      </c>
      <c r="HR35" s="129" t="str">
        <f>IFERROR(VLOOKUP(HR34,教师安排!$A:$Y,HR$2+1,FALSE),"")</f>
        <v>孙秋杰</v>
      </c>
      <c r="HS35" s="129" t="str">
        <f>IFERROR(VLOOKUP(HS34,教师安排!$A:$Y,HS$2+1,FALSE),"")</f>
        <v>赵雪敏</v>
      </c>
      <c r="HT35" s="129" t="str">
        <f>IFERROR(VLOOKUP(HT34,教师安排!$A:$Y,HT$2+1,FALSE),"")</f>
        <v>董艳华</v>
      </c>
      <c r="HU35" s="129" t="str">
        <f>IFERROR(VLOOKUP(HU34,教师安排!$A:$Y,HU$2+1,FALSE),"")</f>
        <v>张雯皓</v>
      </c>
      <c r="HV35" s="129">
        <f>IFERROR(VLOOKUP(HV34,教师安排!$A:$Y,HV$2+1,FALSE),"")</f>
        <v>0</v>
      </c>
      <c r="HW35" s="129" t="str">
        <f>IFERROR(VLOOKUP(HW34,教师安排!$A:$Y,HW$2+1,FALSE),"")</f>
        <v>王硕</v>
      </c>
      <c r="HX35" s="129" t="str">
        <f>IFERROR(VLOOKUP(HX34,教师安排!$A:$Y,HX$2+1,FALSE),"")</f>
        <v>王露</v>
      </c>
      <c r="HY35" s="129" t="str">
        <f>IFERROR(VLOOKUP(HY34,教师安排!$A:$Y,HY$2+1,FALSE),"")</f>
        <v>张鑫</v>
      </c>
      <c r="HZ35" s="129" t="str">
        <f>IFERROR(VLOOKUP(HZ34,教师安排!$A:$Y,HZ$2+1,FALSE),"")</f>
        <v>岳海霞</v>
      </c>
      <c r="IA35" s="129" t="str">
        <f>IFERROR(VLOOKUP(IA34,教师安排!$A:$Y,IA$2+1,FALSE),"")</f>
        <v/>
      </c>
      <c r="IB35" s="129" t="str">
        <f>IFERROR(VLOOKUP(IB34,教师安排!$A:$Y,IB$2+1,FALSE),"")</f>
        <v>厉彦龙</v>
      </c>
      <c r="IC35" s="129" t="str">
        <f>IFERROR(VLOOKUP(IC34,教师安排!$A:$Y,IC$2+1,FALSE),"")</f>
        <v/>
      </c>
      <c r="ID35" s="129"/>
      <c r="IE35" s="129" t="str">
        <f>IFERROR(VLOOKUP(IE34,教师安排!$A:$Y,IE$2+1,FALSE),"")</f>
        <v/>
      </c>
      <c r="IF35" s="129" t="str">
        <f>IFERROR(VLOOKUP(IF34,教师安排!$A:$Y,IF$2+1,FALSE),"")</f>
        <v/>
      </c>
      <c r="IG35" s="129" t="str">
        <f>IFERROR(VLOOKUP(IG34,教师安排!$A:$Y,IG$2+1,FALSE),"")</f>
        <v/>
      </c>
      <c r="IH35" s="129" t="str">
        <f>IFERROR(VLOOKUP(IH34,教师安排!$A:$Y,IH$2+1,FALSE),"")</f>
        <v/>
      </c>
      <c r="II35" s="128" t="str">
        <f>IFERROR(VLOOKUP(II34,教师安排!$A:$Y,II$2+1,FALSE),"")</f>
        <v>康波</v>
      </c>
      <c r="IJ35" s="128" t="str">
        <f>IFERROR(VLOOKUP(IJ34,教师安排!$A:$Y,IJ$2+1,FALSE),"")</f>
        <v>刘珊珊</v>
      </c>
      <c r="IK35" s="128" t="str">
        <f>IFERROR(VLOOKUP(IK34,教师安排!$A:$Y,IK$2+1,FALSE),"")</f>
        <v>张雯皓</v>
      </c>
      <c r="IL35" s="128" t="str">
        <f>IFERROR(VLOOKUP(IL34,教师安排!$A:$Y,IL$2+1,FALSE),"")</f>
        <v>李雯</v>
      </c>
      <c r="IM35" s="128" t="str">
        <f>IFERROR(VLOOKUP(IM34,教师安排!$A:$Y,IM$2+1,FALSE),"")</f>
        <v>刘腾</v>
      </c>
      <c r="IN35" s="128" t="str">
        <f>IFERROR(VLOOKUP(IN34,教师安排!$A:$Y,IN$2+1,FALSE),"")</f>
        <v>蒋心言</v>
      </c>
      <c r="IO35" s="128" t="str">
        <f>IFERROR(VLOOKUP(IO34,教师安排!$A:$Y,IO$2+1,FALSE),"")</f>
        <v>孙锦锦</v>
      </c>
      <c r="IP35" s="128" t="str">
        <f>IFERROR(VLOOKUP(IP34,教师安排!$A:$Y,IP$2+1,FALSE),"")</f>
        <v>路睿</v>
      </c>
      <c r="IQ35" s="128" t="str">
        <f>IFERROR(VLOOKUP(IQ34,教师安排!$A:$Y,IQ$2+1,FALSE),"")</f>
        <v>赵雪敏</v>
      </c>
      <c r="IR35" s="128" t="str">
        <f>IFERROR(VLOOKUP(IR34,教师安排!$A:$Y,IR$2+1,FALSE),"")</f>
        <v>孙娜</v>
      </c>
      <c r="IS35" s="128" t="str">
        <f>IFERROR(VLOOKUP(IS34,教师安排!$A:$Y,IS$2+1,FALSE),"")</f>
        <v>王/宋/翟/胡</v>
      </c>
      <c r="IT35" s="128">
        <f>IFERROR(VLOOKUP(IT34,教师安排!$A:$Y,IT$2+1,FALSE),"")</f>
        <v>0</v>
      </c>
      <c r="IU35" s="128" t="str">
        <f>IFERROR(VLOOKUP(IU34,教师安排!$A:$Y,IU$2+1,FALSE),"")</f>
        <v>宋/韩/王</v>
      </c>
      <c r="IV35" s="128" t="str">
        <f>IFERROR(VLOOKUP(IV34,教师安排!$A:$Y,IV$2+1,FALSE),"")</f>
        <v>翟/韩/王</v>
      </c>
      <c r="IW35" s="128" t="str">
        <f>IFERROR(VLOOKUP(IW34,教师安排!$A:$Y,IW$2+1,FALSE),"")</f>
        <v>胡/韩/王</v>
      </c>
      <c r="IX35" s="128" t="str">
        <f>IFERROR(VLOOKUP(IX34,教师安排!$A:$Y,IX$2+1,FALSE),"")</f>
        <v/>
      </c>
      <c r="IY35" s="128" t="str">
        <f>IFERROR(VLOOKUP(IY34,教师安排!$A:$Y,IY$2+1,FALSE),"")</f>
        <v/>
      </c>
      <c r="IZ35" s="128" t="str">
        <f>IFERROR(VLOOKUP(IZ34,教师安排!$A:$Y,IZ$2+1,FALSE),"")</f>
        <v/>
      </c>
      <c r="JA35" s="128" t="str">
        <f>IFERROR(VLOOKUP(JA34,教师安排!$A:$Y,JA$2+1,FALSE),"")</f>
        <v/>
      </c>
      <c r="JB35" s="128" t="str">
        <f>IFERROR(VLOOKUP(JB34,教师安排!$A:$Y,JB$2+1,FALSE),"")</f>
        <v>王灼</v>
      </c>
      <c r="JC35" s="128" t="str">
        <f>IFERROR(VLOOKUP(JC34,教师安排!$A:$Y,JC$2+1,FALSE),"")</f>
        <v>韩丽梅</v>
      </c>
      <c r="JD35" s="128" t="str">
        <f>IFERROR(VLOOKUP(JD34,教师安排!$A:$Y,JD$2+1,FALSE),"")</f>
        <v>宋平</v>
      </c>
      <c r="JE35" s="128" t="str">
        <f>IFERROR(VLOOKUP(JE34,教师安排!$A:$Y,JE$2+1,FALSE),"")</f>
        <v>翟淑玮</v>
      </c>
      <c r="JF35" s="128" t="str">
        <f>IFERROR(VLOOKUP(JF34,教师安排!$A:$Y,JF$2+1,FALSE),"")</f>
        <v>胡存想</v>
      </c>
      <c r="JG35" s="129" t="str">
        <f>IFERROR(VLOOKUP(JG34,教师安排!$A:$Y,JG$2+1,FALSE),"")</f>
        <v>周兴玲</v>
      </c>
      <c r="JH35" s="129" t="str">
        <f>IFERROR(VLOOKUP(JH34,教师安排!$A:$Y,JH$2+1,FALSE),"")</f>
        <v>姚来朋</v>
      </c>
      <c r="JI35" s="129" t="str">
        <f>IFERROR(VLOOKUP(JI34,教师安排!$A:$Y,JI$2+1,FALSE),"")</f>
        <v>宋开元</v>
      </c>
      <c r="JJ35" s="129" t="str">
        <f>IFERROR(VLOOKUP(JJ34,教师安排!$A:$Y,JJ$2+1,FALSE),"")</f>
        <v>李雯</v>
      </c>
      <c r="JK35" s="129" t="str">
        <f>IFERROR(VLOOKUP(JK34,教师安排!$A:$Y,JK$2+1,FALSE),"")</f>
        <v>孙存义</v>
      </c>
      <c r="JL35" s="129" t="str">
        <f>IFERROR(VLOOKUP(JL34,教师安排!$A:$Y,JL$2+1,FALSE),"")</f>
        <v>翟淑玮</v>
      </c>
      <c r="JM35" s="129" t="str">
        <f>IFERROR(VLOOKUP(JM34,教师安排!$A:$Y,JM$2+1,FALSE),"")</f>
        <v>韩丽梅</v>
      </c>
      <c r="JN35" s="129" t="str">
        <f>IFERROR(VLOOKUP(JN34,教师安排!$A:$Y,JN$2+1,FALSE),"")</f>
        <v>宋平</v>
      </c>
      <c r="JO35" s="129" t="str">
        <f>IFERROR(VLOOKUP(JO34,教师安排!$A:$Y,JO$2+1,FALSE),"")</f>
        <v>王灼</v>
      </c>
      <c r="JP35" s="129" t="str">
        <f>IFERROR(VLOOKUP(JP34,教师安排!$A:$Y,JP$2+1,FALSE),"")</f>
        <v>胡存想</v>
      </c>
      <c r="JQ35" s="129" t="str">
        <f>IFERROR(VLOOKUP(JQ34,教师安排!$A:$Y,JQ$2+1,FALSE),"")</f>
        <v>田凤美</v>
      </c>
      <c r="JR35" s="129">
        <f>IFERROR(VLOOKUP(JR34,教师安排!$A:$Y,JR$2+1,FALSE),"")</f>
        <v>0</v>
      </c>
      <c r="JS35" s="129" t="str">
        <f>IFERROR(VLOOKUP(JS34,教师安排!$A:$Y,JS$2+1,FALSE),"")</f>
        <v>范林林</v>
      </c>
      <c r="JT35" s="129" t="str">
        <f>IFERROR(VLOOKUP(JT34,教师安排!$A:$Y,JT$2+1,FALSE),"")</f>
        <v>李浩然</v>
      </c>
      <c r="JU35" s="129" t="str">
        <f>IFERROR(VLOOKUP(JU34,教师安排!$A:$Y,JU$2+1,FALSE),"")</f>
        <v>高文凤</v>
      </c>
      <c r="JV35" s="129" t="str">
        <f>IFERROR(VLOOKUP(JV34,教师安排!$A:$Y,JV$2+1,FALSE),"")</f>
        <v/>
      </c>
      <c r="JW35" s="129" t="str">
        <f>IFERROR(VLOOKUP(JW34,教师安排!$A:$Y,JW$2+1,FALSE),"")</f>
        <v/>
      </c>
      <c r="JX35" s="129" t="str">
        <f>IFERROR(VLOOKUP(JX34,教师安排!$A:$Y,JX$2+1,FALSE),"")</f>
        <v/>
      </c>
      <c r="JY35" s="129" t="str">
        <f>IFERROR(VLOOKUP(JY34,教师安排!$A:$Y,JY$2+1,FALSE),"")</f>
        <v/>
      </c>
      <c r="JZ35" s="129"/>
      <c r="KA35" s="129" t="str">
        <f>IFERROR(VLOOKUP(KA34,教师安排!$A:$Y,KA$2+1,FALSE),"")</f>
        <v/>
      </c>
      <c r="KB35" s="129" t="str">
        <f>IFERROR(VLOOKUP(KB34,教师安排!$A:$Y,KB$2+1,FALSE),"")</f>
        <v/>
      </c>
      <c r="KC35" s="129" t="str">
        <f>IFERROR(VLOOKUP(KC34,教师安排!$A:$Y,KC$2+1,FALSE),"")</f>
        <v/>
      </c>
      <c r="KD35" s="129" t="str">
        <f>IFERROR(VLOOKUP(KD34,教师安排!$A:$Y,KD$2+1,FALSE),"")</f>
        <v/>
      </c>
    </row>
    <row r="36" spans="1:290" ht="18" customHeight="1" x14ac:dyDescent="0.3">
      <c r="A36" s="146"/>
      <c r="B36" s="148" t="s">
        <v>167</v>
      </c>
      <c r="C36" s="121" t="s">
        <v>127</v>
      </c>
      <c r="D36" s="121" t="s">
        <v>101</v>
      </c>
      <c r="E36" s="121" t="s">
        <v>126</v>
      </c>
      <c r="F36" s="121" t="s">
        <v>97</v>
      </c>
      <c r="G36" s="121" t="s">
        <v>100</v>
      </c>
      <c r="H36" s="121" t="s">
        <v>96</v>
      </c>
      <c r="I36" s="121" t="s">
        <v>104</v>
      </c>
      <c r="J36" s="121" t="s">
        <v>96</v>
      </c>
      <c r="K36" s="121" t="s">
        <v>98</v>
      </c>
      <c r="L36" s="121" t="s">
        <v>127</v>
      </c>
      <c r="M36" s="121" t="s">
        <v>124</v>
      </c>
      <c r="N36" s="121" t="s">
        <v>135</v>
      </c>
      <c r="O36" s="121" t="s">
        <v>97</v>
      </c>
      <c r="P36" s="121" t="s">
        <v>97</v>
      </c>
      <c r="Q36" s="121" t="s">
        <v>104</v>
      </c>
      <c r="R36" s="121"/>
      <c r="S36" s="121"/>
      <c r="T36" s="121"/>
      <c r="U36" s="121"/>
      <c r="V36" s="121"/>
      <c r="W36" s="121"/>
      <c r="X36" s="121"/>
      <c r="Y36" s="121"/>
      <c r="Z36" s="121"/>
      <c r="AA36" s="122" t="s">
        <v>119</v>
      </c>
      <c r="AB36" s="122" t="s">
        <v>104</v>
      </c>
      <c r="AC36" s="122" t="s">
        <v>97</v>
      </c>
      <c r="AD36" s="122" t="s">
        <v>100</v>
      </c>
      <c r="AE36" s="122" t="s">
        <v>99</v>
      </c>
      <c r="AF36" s="122" t="s">
        <v>100</v>
      </c>
      <c r="AG36" s="122" t="s">
        <v>127</v>
      </c>
      <c r="AH36" s="122" t="s">
        <v>99</v>
      </c>
      <c r="AI36" s="122" t="s">
        <v>97</v>
      </c>
      <c r="AJ36" s="122" t="s">
        <v>124</v>
      </c>
      <c r="AK36" s="122" t="s">
        <v>96</v>
      </c>
      <c r="AL36" s="122" t="s">
        <v>135</v>
      </c>
      <c r="AM36" s="122" t="s">
        <v>103</v>
      </c>
      <c r="AN36" s="122" t="s">
        <v>104</v>
      </c>
      <c r="AO36" s="122" t="s">
        <v>104</v>
      </c>
      <c r="AP36" s="122"/>
      <c r="AQ36" s="122"/>
      <c r="AR36" s="122"/>
      <c r="AS36" s="122"/>
      <c r="AT36" s="122"/>
      <c r="AU36" s="122"/>
      <c r="AV36" s="122"/>
      <c r="AW36" s="122"/>
      <c r="AX36" s="122"/>
      <c r="AY36" s="121" t="s">
        <v>125</v>
      </c>
      <c r="AZ36" s="121" t="s">
        <v>120</v>
      </c>
      <c r="BA36" s="121" t="s">
        <v>120</v>
      </c>
      <c r="BB36" s="121" t="s">
        <v>101</v>
      </c>
      <c r="BC36" s="121" t="s">
        <v>118</v>
      </c>
      <c r="BD36" s="121" t="s">
        <v>118</v>
      </c>
      <c r="BE36" s="121" t="s">
        <v>100</v>
      </c>
      <c r="BF36" s="121" t="s">
        <v>100</v>
      </c>
      <c r="BG36" s="121" t="s">
        <v>126</v>
      </c>
      <c r="BH36" s="121" t="s">
        <v>101</v>
      </c>
      <c r="BI36" s="121" t="s">
        <v>103</v>
      </c>
      <c r="BJ36" s="121" t="s">
        <v>135</v>
      </c>
      <c r="BK36" s="121" t="s">
        <v>119</v>
      </c>
      <c r="BL36" s="121" t="s">
        <v>97</v>
      </c>
      <c r="BM36" s="121" t="s">
        <v>124</v>
      </c>
      <c r="BN36" s="121"/>
      <c r="BO36" s="121" t="s">
        <v>143</v>
      </c>
      <c r="BP36" s="121"/>
      <c r="BQ36" s="121" t="s">
        <v>144</v>
      </c>
      <c r="BR36" s="121"/>
      <c r="BS36" s="121"/>
      <c r="BT36" s="121"/>
      <c r="BU36" s="121"/>
      <c r="BV36" s="121"/>
      <c r="BW36" s="122" t="s">
        <v>97</v>
      </c>
      <c r="BX36" s="122" t="s">
        <v>98</v>
      </c>
      <c r="BY36" s="122" t="s">
        <v>98</v>
      </c>
      <c r="BZ36" s="122" t="s">
        <v>118</v>
      </c>
      <c r="CA36" s="122" t="s">
        <v>121</v>
      </c>
      <c r="CB36" s="122" t="s">
        <v>98</v>
      </c>
      <c r="CC36" s="122" t="s">
        <v>98</v>
      </c>
      <c r="CD36" s="122" t="s">
        <v>98</v>
      </c>
      <c r="CE36" s="122" t="s">
        <v>123</v>
      </c>
      <c r="CF36" s="122" t="s">
        <v>98</v>
      </c>
      <c r="CG36" s="122" t="s">
        <v>118</v>
      </c>
      <c r="CH36" s="122" t="s">
        <v>135</v>
      </c>
      <c r="CI36" s="122" t="s">
        <v>118</v>
      </c>
      <c r="CJ36" s="122" t="s">
        <v>125</v>
      </c>
      <c r="CK36" s="122" t="s">
        <v>125</v>
      </c>
      <c r="CL36" s="122"/>
      <c r="CM36" s="122" t="s">
        <v>145</v>
      </c>
      <c r="CN36" s="122"/>
      <c r="CO36" s="122" t="s">
        <v>146</v>
      </c>
      <c r="CP36" s="122"/>
      <c r="CQ36" s="122"/>
      <c r="CR36" s="122"/>
      <c r="CS36" s="122"/>
      <c r="CT36" s="122"/>
      <c r="CU36" s="121" t="s">
        <v>96</v>
      </c>
      <c r="CV36" s="121" t="s">
        <v>100</v>
      </c>
      <c r="CW36" s="121" t="s">
        <v>123</v>
      </c>
      <c r="CX36" s="121" t="s">
        <v>122</v>
      </c>
      <c r="CY36" s="121" t="s">
        <v>98</v>
      </c>
      <c r="CZ36" s="121" t="s">
        <v>99</v>
      </c>
      <c r="DA36" s="121" t="s">
        <v>98</v>
      </c>
      <c r="DB36" s="121" t="s">
        <v>98</v>
      </c>
      <c r="DC36" s="121" t="s">
        <v>101</v>
      </c>
      <c r="DD36" s="121" t="s">
        <v>98</v>
      </c>
      <c r="DE36" s="121" t="s">
        <v>102</v>
      </c>
      <c r="DF36" s="121" t="s">
        <v>135</v>
      </c>
      <c r="DG36" s="121" t="s">
        <v>97</v>
      </c>
      <c r="DH36" s="121" t="s">
        <v>102</v>
      </c>
      <c r="DI36" s="121" t="s">
        <v>97</v>
      </c>
      <c r="DJ36" s="121"/>
      <c r="DK36" s="121"/>
      <c r="DL36" s="121"/>
      <c r="DM36" s="121"/>
      <c r="DN36" s="121"/>
      <c r="DO36" s="121"/>
      <c r="DP36" s="121"/>
      <c r="DQ36" s="121"/>
      <c r="DR36" s="121"/>
      <c r="DS36" s="122" t="s">
        <v>101</v>
      </c>
      <c r="DT36" s="122" t="s">
        <v>99</v>
      </c>
      <c r="DU36" s="122" t="s">
        <v>97</v>
      </c>
      <c r="DV36" s="122" t="s">
        <v>104</v>
      </c>
      <c r="DW36" s="122" t="s">
        <v>96</v>
      </c>
      <c r="DX36" s="122" t="s">
        <v>96</v>
      </c>
      <c r="DY36" s="122" t="s">
        <v>100</v>
      </c>
      <c r="DZ36" s="122" t="s">
        <v>98</v>
      </c>
      <c r="EA36" s="122" t="s">
        <v>97</v>
      </c>
      <c r="EB36" s="122" t="s">
        <v>97</v>
      </c>
      <c r="EC36" s="122" t="s">
        <v>125</v>
      </c>
      <c r="ED36" s="122" t="s">
        <v>135</v>
      </c>
      <c r="EE36" s="122" t="s">
        <v>97</v>
      </c>
      <c r="EF36" s="122" t="s">
        <v>97</v>
      </c>
      <c r="EG36" s="122" t="s">
        <v>102</v>
      </c>
      <c r="EH36" s="122"/>
      <c r="EI36" s="122"/>
      <c r="EJ36" s="122"/>
      <c r="EK36" s="122"/>
      <c r="EL36" s="122"/>
      <c r="EM36" s="122"/>
      <c r="EN36" s="122"/>
      <c r="EO36" s="122"/>
      <c r="EP36" s="122"/>
      <c r="EQ36" s="121" t="s">
        <v>98</v>
      </c>
      <c r="ER36" s="121" t="s">
        <v>96</v>
      </c>
      <c r="ES36" s="121" t="s">
        <v>96</v>
      </c>
      <c r="ET36" s="121" t="s">
        <v>98</v>
      </c>
      <c r="EU36" s="121" t="s">
        <v>100</v>
      </c>
      <c r="EV36" s="121" t="s">
        <v>101</v>
      </c>
      <c r="EW36" s="121" t="s">
        <v>97</v>
      </c>
      <c r="EX36" s="121" t="s">
        <v>99</v>
      </c>
      <c r="EY36" s="121" t="s">
        <v>104</v>
      </c>
      <c r="EZ36" s="121" t="s">
        <v>104</v>
      </c>
      <c r="FA36" s="121" t="s">
        <v>102</v>
      </c>
      <c r="FB36" s="121" t="s">
        <v>135</v>
      </c>
      <c r="FC36" s="121" t="s">
        <v>96</v>
      </c>
      <c r="FD36" s="121" t="s">
        <v>104</v>
      </c>
      <c r="FE36" s="121" t="s">
        <v>96</v>
      </c>
      <c r="FF36" s="121" t="s">
        <v>145</v>
      </c>
      <c r="FG36" s="121"/>
      <c r="FH36" s="121" t="s">
        <v>146</v>
      </c>
      <c r="FI36" s="121"/>
      <c r="FJ36" s="121"/>
      <c r="FK36" s="121"/>
      <c r="FL36" s="121"/>
      <c r="FM36" s="121"/>
      <c r="FN36" s="121"/>
      <c r="FO36" s="122" t="s">
        <v>127</v>
      </c>
      <c r="FP36" s="122" t="s">
        <v>101</v>
      </c>
      <c r="FQ36" s="122" t="s">
        <v>126</v>
      </c>
      <c r="FR36" s="122" t="s">
        <v>97</v>
      </c>
      <c r="FS36" s="122" t="s">
        <v>100</v>
      </c>
      <c r="FT36" s="122" t="s">
        <v>97</v>
      </c>
      <c r="FU36" s="122" t="s">
        <v>104</v>
      </c>
      <c r="FV36" s="122" t="s">
        <v>104</v>
      </c>
      <c r="FW36" s="122" t="s">
        <v>98</v>
      </c>
      <c r="FX36" s="122" t="s">
        <v>127</v>
      </c>
      <c r="FY36" s="122" t="s">
        <v>124</v>
      </c>
      <c r="FZ36" s="122" t="s">
        <v>135</v>
      </c>
      <c r="GA36" s="122" t="s">
        <v>97</v>
      </c>
      <c r="GB36" s="122" t="s">
        <v>127</v>
      </c>
      <c r="GC36" s="122" t="s">
        <v>96</v>
      </c>
      <c r="GD36" s="122"/>
      <c r="GE36" s="122"/>
      <c r="GF36" s="122"/>
      <c r="GG36" s="122"/>
      <c r="GH36" s="122"/>
      <c r="GI36" s="122"/>
      <c r="GJ36" s="122"/>
      <c r="GK36" s="122"/>
      <c r="GL36" s="122"/>
      <c r="GM36" s="121" t="s">
        <v>124</v>
      </c>
      <c r="GN36" s="121" t="s">
        <v>104</v>
      </c>
      <c r="GO36" s="121" t="s">
        <v>97</v>
      </c>
      <c r="GP36" s="121" t="s">
        <v>119</v>
      </c>
      <c r="GQ36" s="121" t="s">
        <v>99</v>
      </c>
      <c r="GR36" s="121" t="s">
        <v>122</v>
      </c>
      <c r="GS36" s="121" t="s">
        <v>100</v>
      </c>
      <c r="GT36" s="121" t="s">
        <v>99</v>
      </c>
      <c r="GU36" s="121" t="s">
        <v>97</v>
      </c>
      <c r="GV36" s="121" t="s">
        <v>124</v>
      </c>
      <c r="GW36" s="121" t="s">
        <v>96</v>
      </c>
      <c r="GX36" s="121" t="s">
        <v>135</v>
      </c>
      <c r="GY36" s="121" t="s">
        <v>103</v>
      </c>
      <c r="GZ36" s="121" t="s">
        <v>104</v>
      </c>
      <c r="HA36" s="121" t="s">
        <v>104</v>
      </c>
      <c r="HB36" s="121"/>
      <c r="HC36" s="121"/>
      <c r="HD36" s="121"/>
      <c r="HE36" s="121"/>
      <c r="HF36" s="121"/>
      <c r="HG36" s="121"/>
      <c r="HH36" s="121"/>
      <c r="HI36" s="121"/>
      <c r="HJ36" s="121"/>
      <c r="HK36" s="122" t="s">
        <v>125</v>
      </c>
      <c r="HL36" s="122" t="s">
        <v>120</v>
      </c>
      <c r="HM36" s="122" t="s">
        <v>120</v>
      </c>
      <c r="HN36" s="122" t="s">
        <v>101</v>
      </c>
      <c r="HO36" s="122" t="s">
        <v>97</v>
      </c>
      <c r="HP36" s="122" t="s">
        <v>118</v>
      </c>
      <c r="HQ36" s="122" t="s">
        <v>100</v>
      </c>
      <c r="HR36" s="122" t="s">
        <v>100</v>
      </c>
      <c r="HS36" s="122" t="s">
        <v>118</v>
      </c>
      <c r="HT36" s="122" t="s">
        <v>119</v>
      </c>
      <c r="HU36" s="122" t="s">
        <v>103</v>
      </c>
      <c r="HV36" s="122" t="s">
        <v>135</v>
      </c>
      <c r="HW36" s="122" t="s">
        <v>119</v>
      </c>
      <c r="HX36" s="122" t="s">
        <v>97</v>
      </c>
      <c r="HY36" s="122" t="s">
        <v>124</v>
      </c>
      <c r="HZ36" s="122"/>
      <c r="IA36" s="122" t="s">
        <v>143</v>
      </c>
      <c r="IB36" s="122"/>
      <c r="IC36" s="122" t="s">
        <v>144</v>
      </c>
      <c r="ID36" s="122"/>
      <c r="IE36" s="122"/>
      <c r="IF36" s="122"/>
      <c r="IG36" s="122"/>
      <c r="IH36" s="122"/>
      <c r="II36" s="121" t="s">
        <v>119</v>
      </c>
      <c r="IJ36" s="121" t="s">
        <v>98</v>
      </c>
      <c r="IK36" s="121" t="s">
        <v>98</v>
      </c>
      <c r="IL36" s="121" t="s">
        <v>124</v>
      </c>
      <c r="IM36" s="121" t="s">
        <v>121</v>
      </c>
      <c r="IN36" s="121" t="s">
        <v>98</v>
      </c>
      <c r="IO36" s="121" t="s">
        <v>98</v>
      </c>
      <c r="IP36" s="121" t="s">
        <v>97</v>
      </c>
      <c r="IQ36" s="121" t="s">
        <v>124</v>
      </c>
      <c r="IR36" s="121" t="s">
        <v>118</v>
      </c>
      <c r="IS36" s="121" t="s">
        <v>118</v>
      </c>
      <c r="IT36" s="121" t="s">
        <v>135</v>
      </c>
      <c r="IU36" s="121" t="s">
        <v>97</v>
      </c>
      <c r="IV36" s="121" t="s">
        <v>125</v>
      </c>
      <c r="IW36" s="121" t="s">
        <v>103</v>
      </c>
      <c r="IX36" s="121"/>
      <c r="IY36" s="121" t="s">
        <v>145</v>
      </c>
      <c r="IZ36" s="121"/>
      <c r="JA36" s="121" t="s">
        <v>146</v>
      </c>
      <c r="JB36" s="121"/>
      <c r="JC36" s="121"/>
      <c r="JD36" s="121"/>
      <c r="JE36" s="121"/>
      <c r="JF36" s="121"/>
      <c r="JG36" s="122" t="s">
        <v>96</v>
      </c>
      <c r="JH36" s="122" t="s">
        <v>100</v>
      </c>
      <c r="JI36" s="122" t="s">
        <v>123</v>
      </c>
      <c r="JJ36" s="122" t="s">
        <v>122</v>
      </c>
      <c r="JK36" s="122" t="s">
        <v>98</v>
      </c>
      <c r="JL36" s="122" t="s">
        <v>98</v>
      </c>
      <c r="JM36" s="122" t="s">
        <v>98</v>
      </c>
      <c r="JN36" s="122" t="s">
        <v>98</v>
      </c>
      <c r="JO36" s="122" t="s">
        <v>118</v>
      </c>
      <c r="JP36" s="122" t="s">
        <v>98</v>
      </c>
      <c r="JQ36" s="122" t="s">
        <v>97</v>
      </c>
      <c r="JR36" s="122" t="s">
        <v>135</v>
      </c>
      <c r="JS36" s="122" t="s">
        <v>103</v>
      </c>
      <c r="JT36" s="122" t="s">
        <v>102</v>
      </c>
      <c r="JU36" s="122" t="s">
        <v>97</v>
      </c>
      <c r="JV36" s="122"/>
      <c r="JW36" s="122"/>
      <c r="JX36" s="122"/>
      <c r="JY36" s="122"/>
      <c r="JZ36" s="122"/>
      <c r="KA36" s="122"/>
      <c r="KB36" s="122"/>
      <c r="KC36" s="122"/>
      <c r="KD36" s="122"/>
    </row>
    <row r="37" spans="1:290" ht="18" customHeight="1" x14ac:dyDescent="0.4">
      <c r="A37" s="146"/>
      <c r="B37" s="148"/>
      <c r="C37" s="125" t="str">
        <f>IFERROR(VLOOKUP(C36,教师安排!$A:$Y,C$2+1,FALSE),"")</f>
        <v>杨彬</v>
      </c>
      <c r="D37" s="125" t="str">
        <f>IFERROR(VLOOKUP(D36,教师安排!$A:$Y,D$2+1,FALSE),"")</f>
        <v>周兴玲</v>
      </c>
      <c r="E37" s="125" t="str">
        <f>IFERROR(VLOOKUP(E36,教师安排!$A:$Y,E$2+1,FALSE),"")</f>
        <v>李会玲</v>
      </c>
      <c r="F37" s="125" t="str">
        <f>IFERROR(VLOOKUP(F36,教师安排!$A:$Y,F$2+1,FALSE),"")</f>
        <v>侯淑贤</v>
      </c>
      <c r="G37" s="125" t="str">
        <f>IFERROR(VLOOKUP(G36,教师安排!$A:$Y,G$2+1,FALSE),"")</f>
        <v>李振铎</v>
      </c>
      <c r="H37" s="125" t="str">
        <f>IFERROR(VLOOKUP(H36,教师安排!$A:$Y,H$2+1,FALSE),"")</f>
        <v>姜媛媛</v>
      </c>
      <c r="I37" s="125" t="str">
        <f>IFERROR(VLOOKUP(I36,教师安排!$A:$Y,I$2+1,FALSE),"")</f>
        <v>孙锦锦</v>
      </c>
      <c r="J37" s="125" t="str">
        <f>IFERROR(VLOOKUP(J36,教师安排!$A:$Y,J$2+1,FALSE),"")</f>
        <v>路睿</v>
      </c>
      <c r="K37" s="125" t="str">
        <f>IFERROR(VLOOKUP(K36,教师安排!$A:$Y,K$2+1,FALSE),"")</f>
        <v>王灼</v>
      </c>
      <c r="L37" s="125" t="str">
        <f>IFERROR(VLOOKUP(L36,教师安排!$A:$Y,L$2+1,FALSE),"")</f>
        <v>王菲</v>
      </c>
      <c r="M37" s="125" t="str">
        <f>IFERROR(VLOOKUP(M36,教师安排!$A:$Y,M$2+1,FALSE),"")</f>
        <v>田凤美</v>
      </c>
      <c r="N37" s="125">
        <f>IFERROR(VLOOKUP(N36,教师安排!$A:$Y,N$2+1,FALSE),"")</f>
        <v>0</v>
      </c>
      <c r="O37" s="125" t="str">
        <f>IFERROR(VLOOKUP(O36,教师安排!$A:$Y,O$2+1,FALSE),"")</f>
        <v>范林林</v>
      </c>
      <c r="P37" s="125" t="str">
        <f>IFERROR(VLOOKUP(P36,教师安排!$A:$Y,P$2+1,FALSE),"")</f>
        <v>王露</v>
      </c>
      <c r="Q37" s="125" t="str">
        <f>IFERROR(VLOOKUP(Q36,教师安排!$A:$Y,Q$2+1,FALSE),"")</f>
        <v>孙秋杰</v>
      </c>
      <c r="R37" s="125" t="str">
        <f>IFERROR(VLOOKUP(R36,教师安排!$A:$Y,R$2+1,FALSE),"")</f>
        <v/>
      </c>
      <c r="S37" s="125" t="str">
        <f>IFERROR(VLOOKUP(S36,教师安排!$A:$Y,S$2+1,FALSE),"")</f>
        <v/>
      </c>
      <c r="T37" s="125" t="str">
        <f>IFERROR(VLOOKUP(T36,教师安排!$A:$Y,T$2+1,FALSE),"")</f>
        <v/>
      </c>
      <c r="U37" s="125" t="str">
        <f>IFERROR(VLOOKUP(U36,教师安排!$A:$Y,U$2+1,FALSE),"")</f>
        <v/>
      </c>
      <c r="V37" s="125"/>
      <c r="W37" s="125" t="str">
        <f>IFERROR(VLOOKUP(W36,教师安排!$A:$Y,W$2+1,FALSE),"")</f>
        <v/>
      </c>
      <c r="X37" s="125" t="str">
        <f>IFERROR(VLOOKUP(X36,教师安排!$A:$Y,X$2+1,FALSE),"")</f>
        <v/>
      </c>
      <c r="Y37" s="125" t="str">
        <f>IFERROR(VLOOKUP(Y36,教师安排!$A:$Y,Y$2+1,FALSE),"")</f>
        <v/>
      </c>
      <c r="Z37" s="125" t="str">
        <f>IFERROR(VLOOKUP(Z36,教师安排!$A:$Y,Z$2+1,FALSE),"")</f>
        <v/>
      </c>
      <c r="AA37" s="126" t="str">
        <f>IFERROR(VLOOKUP(AA36,教师安排!$A:$Y,AA$2+1,FALSE),"")</f>
        <v>侯淑贤</v>
      </c>
      <c r="AB37" s="126" t="str">
        <f>IFERROR(VLOOKUP(AB36,教师安排!$A:$Y,AB$2+1,FALSE),"")</f>
        <v>李会玲</v>
      </c>
      <c r="AC37" s="126" t="str">
        <f>IFERROR(VLOOKUP(AC36,教师安排!$A:$Y,AC$2+1,FALSE),"")</f>
        <v>姚来朋</v>
      </c>
      <c r="AD37" s="126" t="str">
        <f>IFERROR(VLOOKUP(AD36,教师安排!$A:$Y,AD$2+1,FALSE),"")</f>
        <v>马崇庆</v>
      </c>
      <c r="AE37" s="126" t="str">
        <f>IFERROR(VLOOKUP(AE36,教师安排!$A:$Y,AE$2+1,FALSE),"")</f>
        <v>孙存义</v>
      </c>
      <c r="AF37" s="126" t="str">
        <f>IFERROR(VLOOKUP(AF36,教师安排!$A:$Y,AF$2+1,FALSE),"")</f>
        <v>李振铎</v>
      </c>
      <c r="AG37" s="126" t="str">
        <f>IFERROR(VLOOKUP(AG36,教师安排!$A:$Y,AG$2+1,FALSE),"")</f>
        <v>王雪莲</v>
      </c>
      <c r="AH37" s="126" t="str">
        <f>IFERROR(VLOOKUP(AH36,教师安排!$A:$Y,AH$2+1,FALSE),"")</f>
        <v>康波</v>
      </c>
      <c r="AI37" s="126" t="str">
        <f>IFERROR(VLOOKUP(AI36,教师安排!$A:$Y,AI$2+1,FALSE),"")</f>
        <v>赵雪敏</v>
      </c>
      <c r="AJ37" s="126" t="str">
        <f>IFERROR(VLOOKUP(AJ36,教师安排!$A:$Y,AJ$2+1,FALSE),"")</f>
        <v>董艳华</v>
      </c>
      <c r="AK37" s="126" t="str">
        <f>IFERROR(VLOOKUP(AK36,教师安排!$A:$Y,AK$2+1,FALSE),"")</f>
        <v>路睿</v>
      </c>
      <c r="AL37" s="126">
        <f>IFERROR(VLOOKUP(AL36,教师安排!$A:$Y,AL$2+1,FALSE),"")</f>
        <v>0</v>
      </c>
      <c r="AM37" s="126" t="str">
        <f>IFERROR(VLOOKUP(AM36,教师安排!$A:$Y,AM$2+1,FALSE),"")</f>
        <v>李浩然</v>
      </c>
      <c r="AN37" s="126" t="str">
        <f>IFERROR(VLOOKUP(AN36,教师安排!$A:$Y,AN$2+1,FALSE),"")</f>
        <v>孙锦锦</v>
      </c>
      <c r="AO37" s="126" t="str">
        <f>IFERROR(VLOOKUP(AO36,教师安排!$A:$Y,AO$2+1,FALSE),"")</f>
        <v>孙秋杰</v>
      </c>
      <c r="AP37" s="126" t="str">
        <f>IFERROR(VLOOKUP(AP36,教师安排!$A:$Y,AP$2+1,FALSE),"")</f>
        <v/>
      </c>
      <c r="AQ37" s="126" t="str">
        <f>IFERROR(VLOOKUP(AQ36,教师安排!$A:$Y,AQ$2+1,FALSE),"")</f>
        <v/>
      </c>
      <c r="AR37" s="126" t="str">
        <f>IFERROR(VLOOKUP(AR36,教师安排!$A:$Y,AR$2+1,FALSE),"")</f>
        <v/>
      </c>
      <c r="AS37" s="126" t="str">
        <f>IFERROR(VLOOKUP(AS36,教师安排!$A:$Y,AS$2+1,FALSE),"")</f>
        <v/>
      </c>
      <c r="AT37" s="126"/>
      <c r="AU37" s="126" t="str">
        <f>IFERROR(VLOOKUP(AU36,教师安排!$A:$Y,AU$2+1,FALSE),"")</f>
        <v/>
      </c>
      <c r="AV37" s="126" t="str">
        <f>IFERROR(VLOOKUP(AV36,教师安排!$A:$Y,AV$2+1,FALSE),"")</f>
        <v/>
      </c>
      <c r="AW37" s="126" t="str">
        <f>IFERROR(VLOOKUP(AW36,教师安排!$A:$Y,AW$2+1,FALSE),"")</f>
        <v/>
      </c>
      <c r="AX37" s="126" t="str">
        <f>IFERROR(VLOOKUP(AX36,教师安排!$A:$Y,AX$2+1,FALSE),"")</f>
        <v/>
      </c>
      <c r="AY37" s="125" t="str">
        <f>IFERROR(VLOOKUP(AY36,教师安排!$A:$Y,AY$2+1,FALSE),"")</f>
        <v>刘珊珊</v>
      </c>
      <c r="AZ37" s="125" t="str">
        <f>IFERROR(VLOOKUP(AZ36,教师安排!$A:$Y,AZ$2+1,FALSE),"")</f>
        <v>岳/厉</v>
      </c>
      <c r="BA37" s="125" t="str">
        <f>IFERROR(VLOOKUP(BA36,教师安排!$A:$Y,BA$2+1,FALSE),"")</f>
        <v>岳/厉</v>
      </c>
      <c r="BB37" s="125" t="str">
        <f>IFERROR(VLOOKUP(BB36,教师安排!$A:$Y,BB$2+1,FALSE),"")</f>
        <v>周兴玲</v>
      </c>
      <c r="BC37" s="125" t="str">
        <f>IFERROR(VLOOKUP(BC36,教师安排!$A:$Y,BC$2+1,FALSE),"")</f>
        <v>张冰雪</v>
      </c>
      <c r="BD37" s="125" t="str">
        <f>IFERROR(VLOOKUP(BD36,教师安排!$A:$Y,BD$2+1,FALSE),"")</f>
        <v>姜媛媛</v>
      </c>
      <c r="BE37" s="125" t="str">
        <f>IFERROR(VLOOKUP(BE36,教师安排!$A:$Y,BE$2+1,FALSE),"")</f>
        <v>马崇庆</v>
      </c>
      <c r="BF37" s="125" t="str">
        <f>IFERROR(VLOOKUP(BF36,教师安排!$A:$Y,BF$2+1,FALSE),"")</f>
        <v>宋开元</v>
      </c>
      <c r="BG37" s="125" t="str">
        <f>IFERROR(VLOOKUP(BG36,教师安排!$A:$Y,BG$2+1,FALSE),"")</f>
        <v>王硕</v>
      </c>
      <c r="BH37" s="125" t="str">
        <f>IFERROR(VLOOKUP(BH36,教师安排!$A:$Y,BH$2+1,FALSE),"")</f>
        <v>蒋心言</v>
      </c>
      <c r="BI37" s="125" t="str">
        <f>IFERROR(VLOOKUP(BI36,教师安排!$A:$Y,BI$2+1,FALSE),"")</f>
        <v>张雯皓</v>
      </c>
      <c r="BJ37" s="125">
        <f>IFERROR(VLOOKUP(BJ36,教师安排!$A:$Y,BJ$2+1,FALSE),"")</f>
        <v>0</v>
      </c>
      <c r="BK37" s="125" t="str">
        <f>IFERROR(VLOOKUP(BK36,教师安排!$A:$Y,BK$2+1,FALSE),"")</f>
        <v>范林林</v>
      </c>
      <c r="BL37" s="125" t="str">
        <f>IFERROR(VLOOKUP(BL36,教师安排!$A:$Y,BL$2+1,FALSE),"")</f>
        <v>王露</v>
      </c>
      <c r="BM37" s="125" t="str">
        <f>IFERROR(VLOOKUP(BM36,教师安排!$A:$Y,BM$2+1,FALSE),"")</f>
        <v>夏文杰</v>
      </c>
      <c r="BN37" s="125" t="str">
        <f>IFERROR(VLOOKUP(BN36,教师安排!$A:$Y,BN$2+1,FALSE),"")</f>
        <v/>
      </c>
      <c r="BO37" s="125" t="str">
        <f>IFERROR(VLOOKUP(BO36,教师安排!$A:$Y,BO$2+1,FALSE),"")</f>
        <v>岳海霞</v>
      </c>
      <c r="BP37" s="125" t="str">
        <f>IFERROR(VLOOKUP(BP36,教师安排!$A:$Y,BP$2+1,FALSE),"")</f>
        <v/>
      </c>
      <c r="BQ37" s="125" t="str">
        <f>IFERROR(VLOOKUP(BQ36,教师安排!$A:$Y,BQ$2+1,FALSE),"")</f>
        <v>厉彦龙</v>
      </c>
      <c r="BR37" s="125"/>
      <c r="BS37" s="125" t="str">
        <f>IFERROR(VLOOKUP(BS36,教师安排!$A:$Y,BS$2+1,FALSE),"")</f>
        <v/>
      </c>
      <c r="BT37" s="125" t="str">
        <f>IFERROR(VLOOKUP(BT36,教师安排!$A:$Y,BT$2+1,FALSE),"")</f>
        <v/>
      </c>
      <c r="BU37" s="125" t="str">
        <f>IFERROR(VLOOKUP(BU36,教师安排!$A:$Y,BU$2+1,FALSE),"")</f>
        <v/>
      </c>
      <c r="BV37" s="125" t="str">
        <f>IFERROR(VLOOKUP(BV36,教师安排!$A:$Y,BV$2+1,FALSE),"")</f>
        <v/>
      </c>
      <c r="BW37" s="126" t="str">
        <f>IFERROR(VLOOKUP(BW36,教师安排!$A:$Y,BW$2+1,FALSE),"")</f>
        <v>侯淑贤</v>
      </c>
      <c r="BX37" s="126" t="str">
        <f>IFERROR(VLOOKUP(BX36,教师安排!$A:$Y,BX$2+1,FALSE),"")</f>
        <v>岳/厉</v>
      </c>
      <c r="BY37" s="126" t="str">
        <f>IFERROR(VLOOKUP(BY36,教师安排!$A:$Y,BY$2+1,FALSE),"")</f>
        <v>岳/厉</v>
      </c>
      <c r="BZ37" s="126" t="str">
        <f>IFERROR(VLOOKUP(BZ36,教师安排!$A:$Y,BZ$2+1,FALSE),"")</f>
        <v>史振塞</v>
      </c>
      <c r="CA37" s="126" t="str">
        <f>IFERROR(VLOOKUP(CA36,教师安排!$A:$Y,CA$2+1,FALSE),"")</f>
        <v>孙存义</v>
      </c>
      <c r="CB37" s="126" t="str">
        <f>IFERROR(VLOOKUP(CB36,教师安排!$A:$Y,CB$2+1,FALSE),"")</f>
        <v>翟淑玮</v>
      </c>
      <c r="CC37" s="126" t="str">
        <f>IFERROR(VLOOKUP(CC36,教师安排!$A:$Y,CC$2+1,FALSE),"")</f>
        <v>韩丽梅</v>
      </c>
      <c r="CD37" s="126" t="str">
        <f>IFERROR(VLOOKUP(CD36,教师安排!$A:$Y,CD$2+1,FALSE),"")</f>
        <v>宋平</v>
      </c>
      <c r="CE37" s="126" t="str">
        <f>IFERROR(VLOOKUP(CE36,教师安排!$A:$Y,CE$2+1,FALSE),"")</f>
        <v>刘腾</v>
      </c>
      <c r="CF37" s="126" t="str">
        <f>IFERROR(VLOOKUP(CF36,教师安排!$A:$Y,CF$2+1,FALSE),"")</f>
        <v>胡存想</v>
      </c>
      <c r="CG37" s="126" t="str">
        <f>IFERROR(VLOOKUP(CG36,教师安排!$A:$Y,CG$2+1,FALSE),"")</f>
        <v>路睿</v>
      </c>
      <c r="CH37" s="126">
        <f>IFERROR(VLOOKUP(CH36,教师安排!$A:$Y,CH$2+1,FALSE),"")</f>
        <v>0</v>
      </c>
      <c r="CI37" s="126" t="str">
        <f>IFERROR(VLOOKUP(CI36,教师安排!$A:$Y,CI$2+1,FALSE),"")</f>
        <v>王菲</v>
      </c>
      <c r="CJ37" s="126" t="str">
        <f>IFERROR(VLOOKUP(CJ36,教师安排!$A:$Y,CJ$2+1,FALSE),"")</f>
        <v>李浩然</v>
      </c>
      <c r="CK37" s="126" t="str">
        <f>IFERROR(VLOOKUP(CK36,教师安排!$A:$Y,CK$2+1,FALSE),"")</f>
        <v>张鑫</v>
      </c>
      <c r="CL37" s="126" t="str">
        <f>IFERROR(VLOOKUP(CL36,教师安排!$A:$Y,CL$2+1,FALSE),"")</f>
        <v/>
      </c>
      <c r="CM37" s="126" t="str">
        <f>IFERROR(VLOOKUP(CM36,教师安排!$A:$Y,CM$2+1,FALSE),"")</f>
        <v>岳海霞</v>
      </c>
      <c r="CN37" s="126" t="str">
        <f>IFERROR(VLOOKUP(CN36,教师安排!$A:$Y,CN$2+1,FALSE),"")</f>
        <v/>
      </c>
      <c r="CO37" s="126" t="str">
        <f>IFERROR(VLOOKUP(CO36,教师安排!$A:$Y,CO$2+1,FALSE),"")</f>
        <v>厉彦龙</v>
      </c>
      <c r="CP37" s="126" t="str">
        <f>IFERROR(VLOOKUP(CP36,教师安排!$A:$Y,CP$2+1,FALSE),"")</f>
        <v/>
      </c>
      <c r="CQ37" s="126"/>
      <c r="CR37" s="126" t="str">
        <f>IFERROR(VLOOKUP(CR36,教师安排!$A:$Y,CR$2+1,FALSE),"")</f>
        <v/>
      </c>
      <c r="CS37" s="126" t="str">
        <f>IFERROR(VLOOKUP(CS36,教师安排!$A:$Y,CS$2+1,FALSE),"")</f>
        <v/>
      </c>
      <c r="CT37" s="126" t="str">
        <f>IFERROR(VLOOKUP(CT36,教师安排!$A:$Y,CT$2+1,FALSE),"")</f>
        <v/>
      </c>
      <c r="CU37" s="125" t="str">
        <f>IFERROR(VLOOKUP(CU36,教师安排!$A:$Y,CU$2+1,FALSE),"")</f>
        <v>杨彬</v>
      </c>
      <c r="CV37" s="125" t="str">
        <f>IFERROR(VLOOKUP(CV36,教师安排!$A:$Y,CV$2+1,FALSE),"")</f>
        <v>宋开元</v>
      </c>
      <c r="CW37" s="125" t="str">
        <f>IFERROR(VLOOKUP(CW36,教师安排!$A:$Y,CW$2+1,FALSE),"")</f>
        <v>周兴玲</v>
      </c>
      <c r="CX37" s="125" t="str">
        <f>IFERROR(VLOOKUP(CX36,教师安排!$A:$Y,CX$2+1,FALSE),"")</f>
        <v>马崇庆</v>
      </c>
      <c r="CY37" s="125" t="str">
        <f>IFERROR(VLOOKUP(CY36,教师安排!$A:$Y,CY$2+1,FALSE),"")</f>
        <v>王灼</v>
      </c>
      <c r="CZ37" s="125" t="str">
        <f>IFERROR(VLOOKUP(CZ36,教师安排!$A:$Y,CZ$2+1,FALSE),"")</f>
        <v>孙存义</v>
      </c>
      <c r="DA37" s="125" t="str">
        <f>IFERROR(VLOOKUP(DA36,教师安排!$A:$Y,DA$2+1,FALSE),"")</f>
        <v>韩丽梅</v>
      </c>
      <c r="DB37" s="125" t="str">
        <f>IFERROR(VLOOKUP(DB36,教师安排!$A:$Y,DB$2+1,FALSE),"")</f>
        <v>宋平</v>
      </c>
      <c r="DC37" s="125" t="str">
        <f>IFERROR(VLOOKUP(DC36,教师安排!$A:$Y,DC$2+1,FALSE),"")</f>
        <v>刘腾</v>
      </c>
      <c r="DD37" s="125" t="str">
        <f>IFERROR(VLOOKUP(DD36,教师安排!$A:$Y,DD$2+1,FALSE),"")</f>
        <v>胡存想</v>
      </c>
      <c r="DE37" s="125" t="str">
        <f>IFERROR(VLOOKUP(DE36,教师安排!$A:$Y,DE$2+1,FALSE),"")</f>
        <v>田凤美</v>
      </c>
      <c r="DF37" s="125">
        <f>IFERROR(VLOOKUP(DF36,教师安排!$A:$Y,DF$2+1,FALSE),"")</f>
        <v>0</v>
      </c>
      <c r="DG37" s="125" t="str">
        <f>IFERROR(VLOOKUP(DG36,教师安排!$A:$Y,DG$2+1,FALSE),"")</f>
        <v>范林林</v>
      </c>
      <c r="DH37" s="125" t="str">
        <f>IFERROR(VLOOKUP(DH36,教师安排!$A:$Y,DH$2+1,FALSE),"")</f>
        <v>董艳华</v>
      </c>
      <c r="DI37" s="125" t="str">
        <f>IFERROR(VLOOKUP(DI36,教师安排!$A:$Y,DI$2+1,FALSE),"")</f>
        <v>高文凤</v>
      </c>
      <c r="DJ37" s="125" t="str">
        <f>IFERROR(VLOOKUP(DJ36,教师安排!$A:$Y,DJ$2+1,FALSE),"")</f>
        <v/>
      </c>
      <c r="DK37" s="125" t="str">
        <f>IFERROR(VLOOKUP(DK36,教师安排!$A:$Y,DK$2+1,FALSE),"")</f>
        <v/>
      </c>
      <c r="DL37" s="125" t="str">
        <f>IFERROR(VLOOKUP(DL36,教师安排!$A:$Y,DL$2+1,FALSE),"")</f>
        <v/>
      </c>
      <c r="DM37" s="125" t="str">
        <f>IFERROR(VLOOKUP(DM36,教师安排!$A:$Y,DM$2+1,FALSE),"")</f>
        <v/>
      </c>
      <c r="DN37" s="125"/>
      <c r="DO37" s="125" t="str">
        <f>IFERROR(VLOOKUP(DO36,教师安排!$A:$Y,DO$2+1,FALSE),"")</f>
        <v/>
      </c>
      <c r="DP37" s="125" t="str">
        <f>IFERROR(VLOOKUP(DP36,教师安排!$A:$Y,DP$2+1,FALSE),"")</f>
        <v/>
      </c>
      <c r="DQ37" s="125" t="str">
        <f>IFERROR(VLOOKUP(DQ36,教师安排!$A:$Y,DQ$2+1,FALSE),"")</f>
        <v/>
      </c>
      <c r="DR37" s="125" t="str">
        <f>IFERROR(VLOOKUP(DR36,教师安排!$A:$Y,DR$2+1,FALSE),"")</f>
        <v/>
      </c>
      <c r="DS37" s="124" t="str">
        <f>IFERROR(VLOOKUP(DS36,教师安排!$A:$Y,DS$2+1,FALSE),"")</f>
        <v>周兴玲</v>
      </c>
      <c r="DT37" s="124" t="str">
        <f>IFERROR(VLOOKUP(DT36,教师安排!$A:$Y,DT$2+1,FALSE),"")</f>
        <v>张雨晴</v>
      </c>
      <c r="DU37" s="124" t="str">
        <f>IFERROR(VLOOKUP(DU36,教师安排!$A:$Y,DU$2+1,FALSE),"")</f>
        <v>姚来朋</v>
      </c>
      <c r="DV37" s="124" t="str">
        <f>IFERROR(VLOOKUP(DV36,教师安排!$A:$Y,DV$2+1,FALSE),"")</f>
        <v>李会玲</v>
      </c>
      <c r="DW37" s="124" t="str">
        <f>IFERROR(VLOOKUP(DW36,教师安排!$A:$Y,DW$2+1,FALSE),"")</f>
        <v>张冰雪</v>
      </c>
      <c r="DX37" s="124" t="str">
        <f>IFERROR(VLOOKUP(DX36,教师安排!$A:$Y,DX$2+1,FALSE),"")</f>
        <v>姜媛媛</v>
      </c>
      <c r="DY37" s="124" t="str">
        <f>IFERROR(VLOOKUP(DY36,教师安排!$A:$Y,DY$2+1,FALSE),"")</f>
        <v>马崇庆</v>
      </c>
      <c r="DZ37" s="124" t="str">
        <f>IFERROR(VLOOKUP(DZ36,教师安排!$A:$Y,DZ$2+1,FALSE),"")</f>
        <v>宋平</v>
      </c>
      <c r="EA37" s="124" t="str">
        <f>IFERROR(VLOOKUP(EA36,教师安排!$A:$Y,EA$2+1,FALSE),"")</f>
        <v>赵雪敏</v>
      </c>
      <c r="EB37" s="124" t="str">
        <f>IFERROR(VLOOKUP(EB36,教师安排!$A:$Y,EB$2+1,FALSE),"")</f>
        <v>孙娜</v>
      </c>
      <c r="EC37" s="124" t="str">
        <f>IFERROR(VLOOKUP(EC36,教师安排!$A:$Y,EC$2+1,FALSE),"")</f>
        <v>张雯皓</v>
      </c>
      <c r="ED37" s="124">
        <f>IFERROR(VLOOKUP(ED36,教师安排!$A:$Y,ED$2+1,FALSE),"")</f>
        <v>0</v>
      </c>
      <c r="EE37" s="124" t="str">
        <f>IFERROR(VLOOKUP(EE36,教师安排!$A:$Y,EE$2+1,FALSE),"")</f>
        <v>范林林</v>
      </c>
      <c r="EF37" s="124" t="str">
        <f>IFERROR(VLOOKUP(EF36,教师安排!$A:$Y,EF$2+1,FALSE),"")</f>
        <v>王露</v>
      </c>
      <c r="EG37" s="124" t="str">
        <f>IFERROR(VLOOKUP(EG36,教师安排!$A:$Y,EG$2+1,FALSE),"")</f>
        <v>夏文杰</v>
      </c>
      <c r="EH37" s="124" t="str">
        <f>IFERROR(VLOOKUP(EH36,教师安排!$A:$Y,EH$2+1,FALSE),"")</f>
        <v/>
      </c>
      <c r="EI37" s="124" t="str">
        <f>IFERROR(VLOOKUP(EI36,教师安排!$A:$Y,EI$2+1,FALSE),"")</f>
        <v/>
      </c>
      <c r="EJ37" s="124" t="str">
        <f>IFERROR(VLOOKUP(EJ36,教师安排!$A:$Y,EJ$2+1,FALSE),"")</f>
        <v/>
      </c>
      <c r="EK37" s="124" t="str">
        <f>IFERROR(VLOOKUP(EK36,教师安排!$A:$Y,EK$2+1,FALSE),"")</f>
        <v/>
      </c>
      <c r="EL37" s="124"/>
      <c r="EM37" s="124" t="str">
        <f>IFERROR(VLOOKUP(EM36,教师安排!$A:$Y,EM$2+1,FALSE),"")</f>
        <v/>
      </c>
      <c r="EN37" s="124" t="str">
        <f>IFERROR(VLOOKUP(EN36,教师安排!$A:$Y,EN$2+1,FALSE),"")</f>
        <v/>
      </c>
      <c r="EO37" s="124" t="str">
        <f>IFERROR(VLOOKUP(EO36,教师安排!$A:$Y,EO$2+1,FALSE),"")</f>
        <v/>
      </c>
      <c r="EP37" s="124" t="str">
        <f>IFERROR(VLOOKUP(EP36,教师安排!$A:$Y,EP$2+1,FALSE),"")</f>
        <v/>
      </c>
      <c r="EQ37" s="123" t="str">
        <f>IFERROR(VLOOKUP(EQ36,教师安排!$A:$Y,EQ$2+1,FALSE),"")</f>
        <v>岳/厉</v>
      </c>
      <c r="ER37" s="123" t="str">
        <f>IFERROR(VLOOKUP(ER36,教师安排!$A:$Y,ER$2+1,FALSE),"")</f>
        <v>史振塞</v>
      </c>
      <c r="ES37" s="123" t="str">
        <f>IFERROR(VLOOKUP(ES36,教师安排!$A:$Y,ES$2+1,FALSE),"")</f>
        <v>杨彬</v>
      </c>
      <c r="ET37" s="123" t="str">
        <f>IFERROR(VLOOKUP(ET36,教师安排!$A:$Y,ET$2+1,FALSE),"")</f>
        <v>岳/厉</v>
      </c>
      <c r="EU37" s="123" t="str">
        <f>IFERROR(VLOOKUP(EU36,教师安排!$A:$Y,EU$2+1,FALSE),"")</f>
        <v>李振铎</v>
      </c>
      <c r="EV37" s="123" t="str">
        <f>IFERROR(VLOOKUP(EV36,教师安排!$A:$Y,EV$2+1,FALSE),"")</f>
        <v>蒋心言</v>
      </c>
      <c r="EW37" s="123" t="str">
        <f>IFERROR(VLOOKUP(EW36,教师安排!$A:$Y,EW$2+1,FALSE),"")</f>
        <v>范林林</v>
      </c>
      <c r="EX37" s="123" t="str">
        <f>IFERROR(VLOOKUP(EX36,教师安排!$A:$Y,EX$2+1,FALSE),"")</f>
        <v>康波</v>
      </c>
      <c r="EY37" s="123" t="str">
        <f>IFERROR(VLOOKUP(EY36,教师安排!$A:$Y,EY$2+1,FALSE),"")</f>
        <v>王硕</v>
      </c>
      <c r="EZ37" s="123" t="str">
        <f>IFERROR(VLOOKUP(EZ36,教师安排!$A:$Y,EZ$2+1,FALSE),"")</f>
        <v>孙秋杰</v>
      </c>
      <c r="FA37" s="123" t="str">
        <f>IFERROR(VLOOKUP(FA36,教师安排!$A:$Y,FA$2+1,FALSE),"")</f>
        <v>田凤美</v>
      </c>
      <c r="FB37" s="123">
        <f>IFERROR(VLOOKUP(FB36,教师安排!$A:$Y,FB$2+1,FALSE),"")</f>
        <v>0</v>
      </c>
      <c r="FC37" s="123" t="str">
        <f>IFERROR(VLOOKUP(FC36,教师安排!$A:$Y,FC$2+1,FALSE),"")</f>
        <v>王菲</v>
      </c>
      <c r="FD37" s="123" t="str">
        <f>IFERROR(VLOOKUP(FD36,教师安排!$A:$Y,FD$2+1,FALSE),"")</f>
        <v>孙锦锦</v>
      </c>
      <c r="FE37" s="123" t="str">
        <f>IFERROR(VLOOKUP(FE36,教师安排!$A:$Y,FE$2+1,FALSE),"")</f>
        <v>路睿</v>
      </c>
      <c r="FF37" s="123" t="str">
        <f>IFERROR(VLOOKUP(FF36,教师安排!$A:$Y,FF$2+1,FALSE),"")</f>
        <v>岳海霞</v>
      </c>
      <c r="FG37" s="123" t="str">
        <f>IFERROR(VLOOKUP(FG36,教师安排!$A:$Y,FG$2+1,FALSE),"")</f>
        <v/>
      </c>
      <c r="FH37" s="123" t="str">
        <f>IFERROR(VLOOKUP(FH36,教师安排!$A:$Y,FH$2+1,FALSE),"")</f>
        <v>厉彦龙</v>
      </c>
      <c r="FI37" s="123" t="str">
        <f>IFERROR(VLOOKUP(FI36,教师安排!$A:$Y,FI$2+1,FALSE),"")</f>
        <v/>
      </c>
      <c r="FJ37" s="123"/>
      <c r="FK37" s="123" t="str">
        <f>IFERROR(VLOOKUP(FK36,教师安排!$A:$Y,FK$2+1,FALSE),"")</f>
        <v/>
      </c>
      <c r="FL37" s="123" t="str">
        <f>IFERROR(VLOOKUP(FL36,教师安排!$A:$Y,FL$2+1,FALSE),"")</f>
        <v/>
      </c>
      <c r="FM37" s="123" t="str">
        <f>IFERROR(VLOOKUP(FM36,教师安排!$A:$Y,FM$2+1,FALSE),"")</f>
        <v/>
      </c>
      <c r="FN37" s="123" t="str">
        <f>IFERROR(VLOOKUP(FN36,教师安排!$A:$Y,FN$2+1,FALSE),"")</f>
        <v/>
      </c>
      <c r="FO37" s="126" t="str">
        <f>IFERROR(VLOOKUP(FO36,教师安排!$A:$Y,FO$2+1,FALSE),"")</f>
        <v>杨彬</v>
      </c>
      <c r="FP37" s="126" t="str">
        <f>IFERROR(VLOOKUP(FP36,教师安排!$A:$Y,FP$2+1,FALSE),"")</f>
        <v>周兴玲</v>
      </c>
      <c r="FQ37" s="126" t="str">
        <f>IFERROR(VLOOKUP(FQ36,教师安排!$A:$Y,FQ$2+1,FALSE),"")</f>
        <v>李会玲</v>
      </c>
      <c r="FR37" s="126" t="str">
        <f>IFERROR(VLOOKUP(FR36,教师安排!$A:$Y,FR$2+1,FALSE),"")</f>
        <v>侯淑贤</v>
      </c>
      <c r="FS37" s="126" t="str">
        <f>IFERROR(VLOOKUP(FS36,教师安排!$A:$Y,FS$2+1,FALSE),"")</f>
        <v>李振铎</v>
      </c>
      <c r="FT37" s="126" t="str">
        <f>IFERROR(VLOOKUP(FT36,教师安排!$A:$Y,FT$2+1,FALSE),"")</f>
        <v>王露</v>
      </c>
      <c r="FU37" s="126" t="str">
        <f>IFERROR(VLOOKUP(FU36,教师安排!$A:$Y,FU$2+1,FALSE),"")</f>
        <v>孙锦锦</v>
      </c>
      <c r="FV37" s="126" t="str">
        <f>IFERROR(VLOOKUP(FV36,教师安排!$A:$Y,FV$2+1,FALSE),"")</f>
        <v>孙秋杰</v>
      </c>
      <c r="FW37" s="126" t="str">
        <f>IFERROR(VLOOKUP(FW36,教师安排!$A:$Y,FW$2+1,FALSE),"")</f>
        <v>王灼</v>
      </c>
      <c r="FX37" s="126" t="str">
        <f>IFERROR(VLOOKUP(FX36,教师安排!$A:$Y,FX$2+1,FALSE),"")</f>
        <v>王菲</v>
      </c>
      <c r="FY37" s="126" t="str">
        <f>IFERROR(VLOOKUP(FY36,教师安排!$A:$Y,FY$2+1,FALSE),"")</f>
        <v>田凤美</v>
      </c>
      <c r="FZ37" s="126">
        <f>IFERROR(VLOOKUP(FZ36,教师安排!$A:$Y,FZ$2+1,FALSE),"")</f>
        <v>0</v>
      </c>
      <c r="GA37" s="126" t="str">
        <f>IFERROR(VLOOKUP(GA36,教师安排!$A:$Y,GA$2+1,FALSE),"")</f>
        <v>范林林</v>
      </c>
      <c r="GB37" s="126" t="str">
        <f>IFERROR(VLOOKUP(GB36,教师安排!$A:$Y,GB$2+1,FALSE),"")</f>
        <v>姜媛媛</v>
      </c>
      <c r="GC37" s="126" t="str">
        <f>IFERROR(VLOOKUP(GC36,教师安排!$A:$Y,GC$2+1,FALSE),"")</f>
        <v>路睿</v>
      </c>
      <c r="GD37" s="126" t="str">
        <f>IFERROR(VLOOKUP(GD36,教师安排!$A:$Y,GD$2+1,FALSE),"")</f>
        <v/>
      </c>
      <c r="GE37" s="126" t="str">
        <f>IFERROR(VLOOKUP(GE36,教师安排!$A:$Y,GE$2+1,FALSE),"")</f>
        <v/>
      </c>
      <c r="GF37" s="126" t="str">
        <f>IFERROR(VLOOKUP(GF36,教师安排!$A:$Y,GF$2+1,FALSE),"")</f>
        <v/>
      </c>
      <c r="GG37" s="126" t="str">
        <f>IFERROR(VLOOKUP(GG36,教师安排!$A:$Y,GG$2+1,FALSE),"")</f>
        <v/>
      </c>
      <c r="GH37" s="126"/>
      <c r="GI37" s="126" t="str">
        <f>IFERROR(VLOOKUP(GI36,教师安排!$A:$Y,GI$2+1,FALSE),"")</f>
        <v/>
      </c>
      <c r="GJ37" s="126" t="str">
        <f>IFERROR(VLOOKUP(GJ36,教师安排!$A:$Y,GJ$2+1,FALSE),"")</f>
        <v/>
      </c>
      <c r="GK37" s="126" t="str">
        <f>IFERROR(VLOOKUP(GK36,教师安排!$A:$Y,GK$2+1,FALSE),"")</f>
        <v/>
      </c>
      <c r="GL37" s="126" t="str">
        <f>IFERROR(VLOOKUP(GL36,教师安排!$A:$Y,GL$2+1,FALSE),"")</f>
        <v/>
      </c>
      <c r="GM37" s="125" t="str">
        <f>IFERROR(VLOOKUP(GM36,教师安排!$A:$Y,GM$2+1,FALSE),"")</f>
        <v>李雯</v>
      </c>
      <c r="GN37" s="125" t="str">
        <f>IFERROR(VLOOKUP(GN36,教师安排!$A:$Y,GN$2+1,FALSE),"")</f>
        <v>李会玲</v>
      </c>
      <c r="GO37" s="125" t="str">
        <f>IFERROR(VLOOKUP(GO36,教师安排!$A:$Y,GO$2+1,FALSE),"")</f>
        <v>姚来朋</v>
      </c>
      <c r="GP37" s="125" t="str">
        <f>IFERROR(VLOOKUP(GP36,教师安排!$A:$Y,GP$2+1,FALSE),"")</f>
        <v>侯淑贤</v>
      </c>
      <c r="GQ37" s="125" t="str">
        <f>IFERROR(VLOOKUP(GQ36,教师安排!$A:$Y,GQ$2+1,FALSE),"")</f>
        <v>孙存义</v>
      </c>
      <c r="GR37" s="125" t="str">
        <f>IFERROR(VLOOKUP(GR36,教师安排!$A:$Y,GR$2+1,FALSE),"")</f>
        <v>李振铎</v>
      </c>
      <c r="GS37" s="125" t="str">
        <f>IFERROR(VLOOKUP(GS36,教师安排!$A:$Y,GS$2+1,FALSE),"")</f>
        <v>马崇庆</v>
      </c>
      <c r="GT37" s="125" t="str">
        <f>IFERROR(VLOOKUP(GT36,教师安排!$A:$Y,GT$2+1,FALSE),"")</f>
        <v>康波</v>
      </c>
      <c r="GU37" s="125" t="str">
        <f>IFERROR(VLOOKUP(GU36,教师安排!$A:$Y,GU$2+1,FALSE),"")</f>
        <v>赵雪敏</v>
      </c>
      <c r="GV37" s="125" t="str">
        <f>IFERROR(VLOOKUP(GV36,教师安排!$A:$Y,GV$2+1,FALSE),"")</f>
        <v>董艳华</v>
      </c>
      <c r="GW37" s="125" t="str">
        <f>IFERROR(VLOOKUP(GW36,教师安排!$A:$Y,GW$2+1,FALSE),"")</f>
        <v>路睿</v>
      </c>
      <c r="GX37" s="125">
        <f>IFERROR(VLOOKUP(GX36,教师安排!$A:$Y,GX$2+1,FALSE),"")</f>
        <v>0</v>
      </c>
      <c r="GY37" s="125" t="str">
        <f>IFERROR(VLOOKUP(GY36,教师安排!$A:$Y,GY$2+1,FALSE),"")</f>
        <v>李浩然</v>
      </c>
      <c r="GZ37" s="125" t="str">
        <f>IFERROR(VLOOKUP(GZ36,教师安排!$A:$Y,GZ$2+1,FALSE),"")</f>
        <v>孙锦锦</v>
      </c>
      <c r="HA37" s="125" t="str">
        <f>IFERROR(VLOOKUP(HA36,教师安排!$A:$Y,HA$2+1,FALSE),"")</f>
        <v>孙秋杰</v>
      </c>
      <c r="HB37" s="125" t="str">
        <f>IFERROR(VLOOKUP(HB36,教师安排!$A:$Y,HB$2+1,FALSE),"")</f>
        <v/>
      </c>
      <c r="HC37" s="125" t="str">
        <f>IFERROR(VLOOKUP(HC36,教师安排!$A:$Y,HC$2+1,FALSE),"")</f>
        <v/>
      </c>
      <c r="HD37" s="125" t="str">
        <f>IFERROR(VLOOKUP(HD36,教师安排!$A:$Y,HD$2+1,FALSE),"")</f>
        <v/>
      </c>
      <c r="HE37" s="125" t="str">
        <f>IFERROR(VLOOKUP(HE36,教师安排!$A:$Y,HE$2+1,FALSE),"")</f>
        <v/>
      </c>
      <c r="HF37" s="125"/>
      <c r="HG37" s="125" t="str">
        <f>IFERROR(VLOOKUP(HG36,教师安排!$A:$Y,HG$2+1,FALSE),"")</f>
        <v/>
      </c>
      <c r="HH37" s="125" t="str">
        <f>IFERROR(VLOOKUP(HH36,教师安排!$A:$Y,HH$2+1,FALSE),"")</f>
        <v/>
      </c>
      <c r="HI37" s="125" t="str">
        <f>IFERROR(VLOOKUP(HI36,教师安排!$A:$Y,HI$2+1,FALSE),"")</f>
        <v/>
      </c>
      <c r="HJ37" s="125" t="str">
        <f>IFERROR(VLOOKUP(HJ36,教师安排!$A:$Y,HJ$2+1,FALSE),"")</f>
        <v/>
      </c>
      <c r="HK37" s="126" t="str">
        <f>IFERROR(VLOOKUP(HK36,教师安排!$A:$Y,HK$2+1,FALSE),"")</f>
        <v>刘珊珊</v>
      </c>
      <c r="HL37" s="126" t="str">
        <f>IFERROR(VLOOKUP(HL36,教师安排!$A:$Y,HL$2+1,FALSE),"")</f>
        <v>岳/厉</v>
      </c>
      <c r="HM37" s="126" t="str">
        <f>IFERROR(VLOOKUP(HM36,教师安排!$A:$Y,HM$2+1,FALSE),"")</f>
        <v>岳/厉</v>
      </c>
      <c r="HN37" s="126" t="str">
        <f>IFERROR(VLOOKUP(HN36,教师安排!$A:$Y,HN$2+1,FALSE),"")</f>
        <v>周兴玲</v>
      </c>
      <c r="HO37" s="126" t="str">
        <f>IFERROR(VLOOKUP(HO36,教师安排!$A:$Y,HO$2+1,FALSE),"")</f>
        <v>赵雪敏</v>
      </c>
      <c r="HP37" s="126" t="str">
        <f>IFERROR(VLOOKUP(HP36,教师安排!$A:$Y,HP$2+1,FALSE),"")</f>
        <v>姜媛媛</v>
      </c>
      <c r="HQ37" s="126" t="str">
        <f>IFERROR(VLOOKUP(HQ36,教师安排!$A:$Y,HQ$2+1,FALSE),"")</f>
        <v>马崇庆</v>
      </c>
      <c r="HR37" s="126" t="str">
        <f>IFERROR(VLOOKUP(HR36,教师安排!$A:$Y,HR$2+1,FALSE),"")</f>
        <v>宋开元</v>
      </c>
      <c r="HS37" s="126" t="str">
        <f>IFERROR(VLOOKUP(HS36,教师安排!$A:$Y,HS$2+1,FALSE),"")</f>
        <v>张冰雪</v>
      </c>
      <c r="HT37" s="126" t="str">
        <f>IFERROR(VLOOKUP(HT36,教师安排!$A:$Y,HT$2+1,FALSE),"")</f>
        <v>孙娜</v>
      </c>
      <c r="HU37" s="126" t="str">
        <f>IFERROR(VLOOKUP(HU36,教师安排!$A:$Y,HU$2+1,FALSE),"")</f>
        <v>张雯皓</v>
      </c>
      <c r="HV37" s="126">
        <f>IFERROR(VLOOKUP(HV36,教师安排!$A:$Y,HV$2+1,FALSE),"")</f>
        <v>0</v>
      </c>
      <c r="HW37" s="126" t="str">
        <f>IFERROR(VLOOKUP(HW36,教师安排!$A:$Y,HW$2+1,FALSE),"")</f>
        <v>范林林</v>
      </c>
      <c r="HX37" s="126" t="str">
        <f>IFERROR(VLOOKUP(HX36,教师安排!$A:$Y,HX$2+1,FALSE),"")</f>
        <v>王露</v>
      </c>
      <c r="HY37" s="126" t="str">
        <f>IFERROR(VLOOKUP(HY36,教师安排!$A:$Y,HY$2+1,FALSE),"")</f>
        <v>夏文杰</v>
      </c>
      <c r="HZ37" s="126" t="str">
        <f>IFERROR(VLOOKUP(HZ36,教师安排!$A:$Y,HZ$2+1,FALSE),"")</f>
        <v/>
      </c>
      <c r="IA37" s="126" t="str">
        <f>IFERROR(VLOOKUP(IA36,教师安排!$A:$Y,IA$2+1,FALSE),"")</f>
        <v>岳海霞</v>
      </c>
      <c r="IB37" s="126" t="str">
        <f>IFERROR(VLOOKUP(IB36,教师安排!$A:$Y,IB$2+1,FALSE),"")</f>
        <v/>
      </c>
      <c r="IC37" s="126" t="str">
        <f>IFERROR(VLOOKUP(IC36,教师安排!$A:$Y,IC$2+1,FALSE),"")</f>
        <v>厉彦龙</v>
      </c>
      <c r="ID37" s="126"/>
      <c r="IE37" s="126" t="str">
        <f>IFERROR(VLOOKUP(IE36,教师安排!$A:$Y,IE$2+1,FALSE),"")</f>
        <v/>
      </c>
      <c r="IF37" s="126" t="str">
        <f>IFERROR(VLOOKUP(IF36,教师安排!$A:$Y,IF$2+1,FALSE),"")</f>
        <v/>
      </c>
      <c r="IG37" s="126" t="str">
        <f>IFERROR(VLOOKUP(IG36,教师安排!$A:$Y,IG$2+1,FALSE),"")</f>
        <v/>
      </c>
      <c r="IH37" s="126" t="str">
        <f>IFERROR(VLOOKUP(IH36,教师安排!$A:$Y,IH$2+1,FALSE),"")</f>
        <v/>
      </c>
      <c r="II37" s="125" t="str">
        <f>IFERROR(VLOOKUP(II36,教师安排!$A:$Y,II$2+1,FALSE),"")</f>
        <v>侯淑贤</v>
      </c>
      <c r="IJ37" s="125" t="str">
        <f>IFERROR(VLOOKUP(IJ36,教师安排!$A:$Y,IJ$2+1,FALSE),"")</f>
        <v>岳/厉</v>
      </c>
      <c r="IK37" s="125" t="str">
        <f>IFERROR(VLOOKUP(IK36,教师安排!$A:$Y,IK$2+1,FALSE),"")</f>
        <v>岳/厉</v>
      </c>
      <c r="IL37" s="125" t="str">
        <f>IFERROR(VLOOKUP(IL36,教师安排!$A:$Y,IL$2+1,FALSE),"")</f>
        <v>李雯</v>
      </c>
      <c r="IM37" s="125" t="str">
        <f>IFERROR(VLOOKUP(IM36,教师安排!$A:$Y,IM$2+1,FALSE),"")</f>
        <v>孙存义</v>
      </c>
      <c r="IN37" s="125" t="str">
        <f>IFERROR(VLOOKUP(IN36,教师安排!$A:$Y,IN$2+1,FALSE),"")</f>
        <v>翟淑玮</v>
      </c>
      <c r="IO37" s="125" t="str">
        <f>IFERROR(VLOOKUP(IO36,教师安排!$A:$Y,IO$2+1,FALSE),"")</f>
        <v>韩丽梅</v>
      </c>
      <c r="IP37" s="125" t="str">
        <f>IFERROR(VLOOKUP(IP36,教师安排!$A:$Y,IP$2+1,FALSE),"")</f>
        <v>高文凤</v>
      </c>
      <c r="IQ37" s="125" t="str">
        <f>IFERROR(VLOOKUP(IQ36,教师安排!$A:$Y,IQ$2+1,FALSE),"")</f>
        <v>田凤美</v>
      </c>
      <c r="IR37" s="125" t="str">
        <f>IFERROR(VLOOKUP(IR36,教师安排!$A:$Y,IR$2+1,FALSE),"")</f>
        <v>王菲</v>
      </c>
      <c r="IS37" s="125" t="str">
        <f>IFERROR(VLOOKUP(IS36,教师安排!$A:$Y,IS$2+1,FALSE),"")</f>
        <v>路睿</v>
      </c>
      <c r="IT37" s="125">
        <f>IFERROR(VLOOKUP(IT36,教师安排!$A:$Y,IT$2+1,FALSE),"")</f>
        <v>0</v>
      </c>
      <c r="IU37" s="125" t="str">
        <f>IFERROR(VLOOKUP(IU36,教师安排!$A:$Y,IU$2+1,FALSE),"")</f>
        <v>范林林</v>
      </c>
      <c r="IV37" s="125" t="str">
        <f>IFERROR(VLOOKUP(IV36,教师安排!$A:$Y,IV$2+1,FALSE),"")</f>
        <v>李浩然</v>
      </c>
      <c r="IW37" s="125" t="str">
        <f>IFERROR(VLOOKUP(IW36,教师安排!$A:$Y,IW$2+1,FALSE),"")</f>
        <v>张鑫</v>
      </c>
      <c r="IX37" s="125" t="str">
        <f>IFERROR(VLOOKUP(IX36,教师安排!$A:$Y,IX$2+1,FALSE),"")</f>
        <v/>
      </c>
      <c r="IY37" s="125" t="str">
        <f>IFERROR(VLOOKUP(IY36,教师安排!$A:$Y,IY$2+1,FALSE),"")</f>
        <v>岳海霞</v>
      </c>
      <c r="IZ37" s="125" t="str">
        <f>IFERROR(VLOOKUP(IZ36,教师安排!$A:$Y,IZ$2+1,FALSE),"")</f>
        <v/>
      </c>
      <c r="JA37" s="125" t="str">
        <f>IFERROR(VLOOKUP(JA36,教师安排!$A:$Y,JA$2+1,FALSE),"")</f>
        <v>厉彦龙</v>
      </c>
      <c r="JB37" s="125"/>
      <c r="JC37" s="125" t="str">
        <f>IFERROR(VLOOKUP(JC36,教师安排!$A:$Y,JC$2+1,FALSE),"")</f>
        <v/>
      </c>
      <c r="JD37" s="125" t="str">
        <f>IFERROR(VLOOKUP(JD36,教师安排!$A:$Y,JD$2+1,FALSE),"")</f>
        <v/>
      </c>
      <c r="JE37" s="125" t="str">
        <f>IFERROR(VLOOKUP(JE36,教师安排!$A:$Y,JE$2+1,FALSE),"")</f>
        <v/>
      </c>
      <c r="JF37" s="125" t="str">
        <f>IFERROR(VLOOKUP(JF36,教师安排!$A:$Y,JF$2+1,FALSE),"")</f>
        <v/>
      </c>
      <c r="JG37" s="126" t="str">
        <f>IFERROR(VLOOKUP(JG36,教师安排!$A:$Y,JG$2+1,FALSE),"")</f>
        <v>杨彬</v>
      </c>
      <c r="JH37" s="126" t="str">
        <f>IFERROR(VLOOKUP(JH36,教师安排!$A:$Y,JH$2+1,FALSE),"")</f>
        <v>宋开元</v>
      </c>
      <c r="JI37" s="126" t="str">
        <f>IFERROR(VLOOKUP(JI36,教师安排!$A:$Y,JI$2+1,FALSE),"")</f>
        <v>周兴玲</v>
      </c>
      <c r="JJ37" s="126" t="str">
        <f>IFERROR(VLOOKUP(JJ36,教师安排!$A:$Y,JJ$2+1,FALSE),"")</f>
        <v>马崇庆</v>
      </c>
      <c r="JK37" s="126" t="str">
        <f>IFERROR(VLOOKUP(JK36,教师安排!$A:$Y,JK$2+1,FALSE),"")</f>
        <v>王灼</v>
      </c>
      <c r="JL37" s="126" t="str">
        <f>IFERROR(VLOOKUP(JL36,教师安排!$A:$Y,JL$2+1,FALSE),"")</f>
        <v>翟淑玮</v>
      </c>
      <c r="JM37" s="126" t="str">
        <f>IFERROR(VLOOKUP(JM36,教师安排!$A:$Y,JM$2+1,FALSE),"")</f>
        <v>韩丽梅</v>
      </c>
      <c r="JN37" s="126" t="str">
        <f>IFERROR(VLOOKUP(JN36,教师安排!$A:$Y,JN$2+1,FALSE),"")</f>
        <v>宋平</v>
      </c>
      <c r="JO37" s="126" t="str">
        <f>IFERROR(VLOOKUP(JO36,教师安排!$A:$Y,JO$2+1,FALSE),"")</f>
        <v>张冰雪</v>
      </c>
      <c r="JP37" s="126" t="str">
        <f>IFERROR(VLOOKUP(JP36,教师安排!$A:$Y,JP$2+1,FALSE),"")</f>
        <v>胡存想</v>
      </c>
      <c r="JQ37" s="126" t="str">
        <f>IFERROR(VLOOKUP(JQ36,教师安排!$A:$Y,JQ$2+1,FALSE),"")</f>
        <v>范林林</v>
      </c>
      <c r="JR37" s="126">
        <f>IFERROR(VLOOKUP(JR36,教师安排!$A:$Y,JR$2+1,FALSE),"")</f>
        <v>0</v>
      </c>
      <c r="JS37" s="126" t="str">
        <f>IFERROR(VLOOKUP(JS36,教师安排!$A:$Y,JS$2+1,FALSE),"")</f>
        <v>李浩然</v>
      </c>
      <c r="JT37" s="126" t="str">
        <f>IFERROR(VLOOKUP(JT36,教师安排!$A:$Y,JT$2+1,FALSE),"")</f>
        <v>董艳华</v>
      </c>
      <c r="JU37" s="126" t="str">
        <f>IFERROR(VLOOKUP(JU36,教师安排!$A:$Y,JU$2+1,FALSE),"")</f>
        <v>高文凤</v>
      </c>
      <c r="JV37" s="126" t="str">
        <f>IFERROR(VLOOKUP(JV36,教师安排!$A:$Y,JV$2+1,FALSE),"")</f>
        <v/>
      </c>
      <c r="JW37" s="126" t="str">
        <f>IFERROR(VLOOKUP(JW36,教师安排!$A:$Y,JW$2+1,FALSE),"")</f>
        <v/>
      </c>
      <c r="JX37" s="126" t="str">
        <f>IFERROR(VLOOKUP(JX36,教师安排!$A:$Y,JX$2+1,FALSE),"")</f>
        <v/>
      </c>
      <c r="JY37" s="126" t="str">
        <f>IFERROR(VLOOKUP(JY36,教师安排!$A:$Y,JY$2+1,FALSE),"")</f>
        <v/>
      </c>
      <c r="JZ37" s="126"/>
      <c r="KA37" s="126" t="str">
        <f>IFERROR(VLOOKUP(KA36,教师安排!$A:$Y,KA$2+1,FALSE),"")</f>
        <v/>
      </c>
      <c r="KB37" s="126" t="str">
        <f>IFERROR(VLOOKUP(KB36,教师安排!$A:$Y,KB$2+1,FALSE),"")</f>
        <v/>
      </c>
      <c r="KC37" s="126" t="str">
        <f>IFERROR(VLOOKUP(KC36,教师安排!$A:$Y,KC$2+1,FALSE),"")</f>
        <v/>
      </c>
      <c r="KD37" s="126" t="str">
        <f>IFERROR(VLOOKUP(KD36,教师安排!$A:$Y,KD$2+1,FALSE),"")</f>
        <v/>
      </c>
    </row>
    <row r="38" spans="1:290" ht="18" customHeight="1" x14ac:dyDescent="0.3">
      <c r="A38" s="146"/>
      <c r="B38" s="148" t="s">
        <v>168</v>
      </c>
      <c r="C38" s="121" t="s">
        <v>101</v>
      </c>
      <c r="D38" s="121" t="s">
        <v>98</v>
      </c>
      <c r="E38" s="121" t="s">
        <v>98</v>
      </c>
      <c r="F38" s="121" t="s">
        <v>127</v>
      </c>
      <c r="G38" s="121" t="s">
        <v>100</v>
      </c>
      <c r="H38" s="121" t="s">
        <v>97</v>
      </c>
      <c r="I38" s="121" t="s">
        <v>97</v>
      </c>
      <c r="J38" s="121" t="s">
        <v>127</v>
      </c>
      <c r="K38" s="121" t="s">
        <v>101</v>
      </c>
      <c r="L38" s="121" t="s">
        <v>97</v>
      </c>
      <c r="M38" s="121" t="s">
        <v>104</v>
      </c>
      <c r="N38" s="121" t="s">
        <v>135</v>
      </c>
      <c r="O38" s="121" t="s">
        <v>124</v>
      </c>
      <c r="P38" s="121" t="s">
        <v>127</v>
      </c>
      <c r="Q38" s="121" t="s">
        <v>104</v>
      </c>
      <c r="R38" s="121"/>
      <c r="S38" s="121" t="s">
        <v>145</v>
      </c>
      <c r="T38" s="121"/>
      <c r="U38" s="121" t="s">
        <v>146</v>
      </c>
      <c r="V38" s="121"/>
      <c r="W38" s="121"/>
      <c r="X38" s="121"/>
      <c r="Y38" s="121"/>
      <c r="Z38" s="121"/>
      <c r="AA38" s="122" t="s">
        <v>104</v>
      </c>
      <c r="AB38" s="122" t="s">
        <v>97</v>
      </c>
      <c r="AC38" s="122" t="s">
        <v>103</v>
      </c>
      <c r="AD38" s="122" t="s">
        <v>121</v>
      </c>
      <c r="AE38" s="122" t="s">
        <v>98</v>
      </c>
      <c r="AF38" s="122" t="s">
        <v>98</v>
      </c>
      <c r="AG38" s="122" t="s">
        <v>98</v>
      </c>
      <c r="AH38" s="122" t="s">
        <v>104</v>
      </c>
      <c r="AI38" s="122" t="s">
        <v>104</v>
      </c>
      <c r="AJ38" s="122" t="s">
        <v>98</v>
      </c>
      <c r="AK38" s="122" t="s">
        <v>104</v>
      </c>
      <c r="AL38" s="122" t="s">
        <v>135</v>
      </c>
      <c r="AM38" s="122" t="s">
        <v>125</v>
      </c>
      <c r="AN38" s="122" t="s">
        <v>124</v>
      </c>
      <c r="AO38" s="122" t="s">
        <v>96</v>
      </c>
      <c r="AP38" s="122"/>
      <c r="AQ38" s="122"/>
      <c r="AR38" s="122"/>
      <c r="AS38" s="122"/>
      <c r="AT38" s="122"/>
      <c r="AU38" s="122"/>
      <c r="AV38" s="122"/>
      <c r="AW38" s="122"/>
      <c r="AX38" s="122"/>
      <c r="AY38" s="121" t="s">
        <v>122</v>
      </c>
      <c r="AZ38" s="121" t="s">
        <v>118</v>
      </c>
      <c r="BA38" s="121" t="s">
        <v>118</v>
      </c>
      <c r="BB38" s="121" t="s">
        <v>125</v>
      </c>
      <c r="BC38" s="121" t="s">
        <v>97</v>
      </c>
      <c r="BD38" s="121" t="s">
        <v>97</v>
      </c>
      <c r="BE38" s="121" t="s">
        <v>118</v>
      </c>
      <c r="BF38" s="121" t="s">
        <v>122</v>
      </c>
      <c r="BG38" s="121" t="s">
        <v>127</v>
      </c>
      <c r="BH38" s="121" t="s">
        <v>123</v>
      </c>
      <c r="BI38" s="121" t="s">
        <v>119</v>
      </c>
      <c r="BJ38" s="121" t="s">
        <v>135</v>
      </c>
      <c r="BK38" s="121" t="s">
        <v>102</v>
      </c>
      <c r="BL38" s="121" t="s">
        <v>96</v>
      </c>
      <c r="BM38" s="121" t="s">
        <v>119</v>
      </c>
      <c r="BN38" s="121"/>
      <c r="BO38" s="121"/>
      <c r="BP38" s="121"/>
      <c r="BQ38" s="121"/>
      <c r="BR38" s="121"/>
      <c r="BS38" s="121"/>
      <c r="BT38" s="121"/>
      <c r="BU38" s="121"/>
      <c r="BV38" s="121"/>
      <c r="BW38" s="122" t="s">
        <v>98</v>
      </c>
      <c r="BX38" s="122" t="s">
        <v>102</v>
      </c>
      <c r="BY38" s="122" t="s">
        <v>102</v>
      </c>
      <c r="BZ38" s="122" t="s">
        <v>98</v>
      </c>
      <c r="CA38" s="122" t="s">
        <v>97</v>
      </c>
      <c r="CB38" s="122" t="s">
        <v>98</v>
      </c>
      <c r="CC38" s="122" t="s">
        <v>121</v>
      </c>
      <c r="CD38" s="122" t="s">
        <v>98</v>
      </c>
      <c r="CE38" s="122" t="s">
        <v>120</v>
      </c>
      <c r="CF38" s="122" t="s">
        <v>118</v>
      </c>
      <c r="CG38" s="122" t="s">
        <v>96</v>
      </c>
      <c r="CH38" s="122" t="s">
        <v>135</v>
      </c>
      <c r="CI38" s="122" t="s">
        <v>103</v>
      </c>
      <c r="CJ38" s="122" t="s">
        <v>104</v>
      </c>
      <c r="CK38" s="122" t="s">
        <v>97</v>
      </c>
      <c r="CL38" s="122" t="s">
        <v>145</v>
      </c>
      <c r="CM38" s="122"/>
      <c r="CN38" s="122" t="s">
        <v>146</v>
      </c>
      <c r="CO38" s="122"/>
      <c r="CP38" s="122"/>
      <c r="CQ38" s="122"/>
      <c r="CR38" s="122"/>
      <c r="CS38" s="122"/>
      <c r="CT38" s="122"/>
      <c r="CU38" s="121" t="s">
        <v>100</v>
      </c>
      <c r="CV38" s="121" t="s">
        <v>123</v>
      </c>
      <c r="CW38" s="121" t="s">
        <v>119</v>
      </c>
      <c r="CX38" s="121" t="s">
        <v>104</v>
      </c>
      <c r="CY38" s="121" t="s">
        <v>123</v>
      </c>
      <c r="CZ38" s="121" t="s">
        <v>101</v>
      </c>
      <c r="DA38" s="121" t="s">
        <v>97</v>
      </c>
      <c r="DB38" s="121" t="s">
        <v>97</v>
      </c>
      <c r="DC38" s="121" t="s">
        <v>124</v>
      </c>
      <c r="DD38" s="121" t="s">
        <v>102</v>
      </c>
      <c r="DE38" s="121" t="s">
        <v>120</v>
      </c>
      <c r="DF38" s="121" t="s">
        <v>135</v>
      </c>
      <c r="DG38" s="121" t="s">
        <v>120</v>
      </c>
      <c r="DH38" s="121" t="s">
        <v>120</v>
      </c>
      <c r="DI38" s="121" t="s">
        <v>120</v>
      </c>
      <c r="DJ38" s="121"/>
      <c r="DK38" s="121"/>
      <c r="DL38" s="121"/>
      <c r="DM38" s="121"/>
      <c r="DN38" s="121" t="s">
        <v>144</v>
      </c>
      <c r="DO38" s="121" t="s">
        <v>144</v>
      </c>
      <c r="DP38" s="121" t="s">
        <v>143</v>
      </c>
      <c r="DQ38" s="121" t="s">
        <v>143</v>
      </c>
      <c r="DR38" s="121" t="s">
        <v>143</v>
      </c>
      <c r="DS38" s="122" t="s">
        <v>97</v>
      </c>
      <c r="DT38" s="122" t="s">
        <v>97</v>
      </c>
      <c r="DU38" s="122" t="s">
        <v>104</v>
      </c>
      <c r="DV38" s="122" t="s">
        <v>102</v>
      </c>
      <c r="DW38" s="122" t="s">
        <v>97</v>
      </c>
      <c r="DX38" s="122" t="s">
        <v>97</v>
      </c>
      <c r="DY38" s="122" t="s">
        <v>96</v>
      </c>
      <c r="DZ38" s="122" t="s">
        <v>97</v>
      </c>
      <c r="EA38" s="122" t="s">
        <v>96</v>
      </c>
      <c r="EB38" s="122" t="s">
        <v>97</v>
      </c>
      <c r="EC38" s="122" t="s">
        <v>98</v>
      </c>
      <c r="ED38" s="122" t="s">
        <v>135</v>
      </c>
      <c r="EE38" s="122" t="s">
        <v>98</v>
      </c>
      <c r="EF38" s="122" t="s">
        <v>98</v>
      </c>
      <c r="EG38" s="122" t="s">
        <v>98</v>
      </c>
      <c r="EH38" s="122"/>
      <c r="EI38" s="122"/>
      <c r="EJ38" s="122"/>
      <c r="EK38" s="122"/>
      <c r="EL38" s="122" t="s">
        <v>146</v>
      </c>
      <c r="EM38" s="122" t="s">
        <v>146</v>
      </c>
      <c r="EN38" s="122" t="s">
        <v>145</v>
      </c>
      <c r="EO38" s="122" t="s">
        <v>145</v>
      </c>
      <c r="EP38" s="122" t="s">
        <v>145</v>
      </c>
      <c r="EQ38" s="121" t="s">
        <v>103</v>
      </c>
      <c r="ER38" s="121" t="s">
        <v>98</v>
      </c>
      <c r="ES38" s="121" t="s">
        <v>98</v>
      </c>
      <c r="ET38" s="121" t="s">
        <v>96</v>
      </c>
      <c r="EU38" s="121" t="s">
        <v>100</v>
      </c>
      <c r="EV38" s="121" t="s">
        <v>99</v>
      </c>
      <c r="EW38" s="121" t="s">
        <v>104</v>
      </c>
      <c r="EX38" s="121" t="s">
        <v>99</v>
      </c>
      <c r="EY38" s="121" t="s">
        <v>98</v>
      </c>
      <c r="EZ38" s="121" t="s">
        <v>96</v>
      </c>
      <c r="FA38" s="121" t="s">
        <v>97</v>
      </c>
      <c r="FB38" s="121" t="s">
        <v>135</v>
      </c>
      <c r="FC38" s="121" t="s">
        <v>104</v>
      </c>
      <c r="FD38" s="121" t="s">
        <v>103</v>
      </c>
      <c r="FE38" s="121" t="s">
        <v>103</v>
      </c>
      <c r="FF38" s="121"/>
      <c r="FG38" s="121" t="s">
        <v>145</v>
      </c>
      <c r="FH38" s="121"/>
      <c r="FI38" s="121" t="s">
        <v>146</v>
      </c>
      <c r="FJ38" s="121"/>
      <c r="FK38" s="121"/>
      <c r="FL38" s="121"/>
      <c r="FM38" s="121"/>
      <c r="FN38" s="121"/>
      <c r="FO38" s="122" t="s">
        <v>101</v>
      </c>
      <c r="FP38" s="122" t="s">
        <v>98</v>
      </c>
      <c r="FQ38" s="122" t="s">
        <v>98</v>
      </c>
      <c r="FR38" s="122" t="s">
        <v>127</v>
      </c>
      <c r="FS38" s="122" t="s">
        <v>100</v>
      </c>
      <c r="FT38" s="122" t="s">
        <v>127</v>
      </c>
      <c r="FU38" s="122" t="s">
        <v>97</v>
      </c>
      <c r="FV38" s="122" t="s">
        <v>127</v>
      </c>
      <c r="FW38" s="122" t="s">
        <v>101</v>
      </c>
      <c r="FX38" s="122" t="s">
        <v>97</v>
      </c>
      <c r="FY38" s="122" t="s">
        <v>102</v>
      </c>
      <c r="FZ38" s="122" t="s">
        <v>135</v>
      </c>
      <c r="GA38" s="122" t="s">
        <v>124</v>
      </c>
      <c r="GB38" s="122" t="s">
        <v>97</v>
      </c>
      <c r="GC38" s="122" t="s">
        <v>104</v>
      </c>
      <c r="GD38" s="122"/>
      <c r="GE38" s="122" t="s">
        <v>145</v>
      </c>
      <c r="GF38" s="122"/>
      <c r="GG38" s="122" t="s">
        <v>146</v>
      </c>
      <c r="GH38" s="122"/>
      <c r="GI38" s="122"/>
      <c r="GJ38" s="122"/>
      <c r="GK38" s="122"/>
      <c r="GL38" s="122"/>
      <c r="GM38" s="121" t="s">
        <v>121</v>
      </c>
      <c r="GN38" s="121" t="s">
        <v>126</v>
      </c>
      <c r="GO38" s="121" t="s">
        <v>124</v>
      </c>
      <c r="GP38" s="121" t="s">
        <v>118</v>
      </c>
      <c r="GQ38" s="121" t="s">
        <v>98</v>
      </c>
      <c r="GR38" s="121" t="s">
        <v>100</v>
      </c>
      <c r="GS38" s="121" t="s">
        <v>98</v>
      </c>
      <c r="GT38" s="121" t="s">
        <v>98</v>
      </c>
      <c r="GU38" s="121" t="s">
        <v>127</v>
      </c>
      <c r="GV38" s="121" t="s">
        <v>102</v>
      </c>
      <c r="GW38" s="121" t="s">
        <v>104</v>
      </c>
      <c r="GX38" s="121" t="s">
        <v>135</v>
      </c>
      <c r="GY38" s="121" t="s">
        <v>104</v>
      </c>
      <c r="GZ38" s="121" t="s">
        <v>103</v>
      </c>
      <c r="HA38" s="121" t="s">
        <v>96</v>
      </c>
      <c r="HB38" s="121"/>
      <c r="HC38" s="121"/>
      <c r="HD38" s="121"/>
      <c r="HE38" s="121"/>
      <c r="HF38" s="121"/>
      <c r="HG38" s="121"/>
      <c r="HH38" s="121"/>
      <c r="HI38" s="121"/>
      <c r="HJ38" s="121"/>
      <c r="HK38" s="122" t="s">
        <v>122</v>
      </c>
      <c r="HL38" s="122" t="s">
        <v>119</v>
      </c>
      <c r="HM38" s="122" t="s">
        <v>118</v>
      </c>
      <c r="HN38" s="122" t="s">
        <v>125</v>
      </c>
      <c r="HO38" s="122" t="s">
        <v>119</v>
      </c>
      <c r="HP38" s="122" t="s">
        <v>97</v>
      </c>
      <c r="HQ38" s="122" t="s">
        <v>96</v>
      </c>
      <c r="HR38" s="122" t="s">
        <v>122</v>
      </c>
      <c r="HS38" s="122" t="s">
        <v>104</v>
      </c>
      <c r="HT38" s="122" t="s">
        <v>123</v>
      </c>
      <c r="HU38" s="122" t="s">
        <v>119</v>
      </c>
      <c r="HV38" s="122" t="s">
        <v>135</v>
      </c>
      <c r="HW38" s="122" t="s">
        <v>102</v>
      </c>
      <c r="HX38" s="122" t="s">
        <v>118</v>
      </c>
      <c r="HY38" s="122" t="s">
        <v>119</v>
      </c>
      <c r="HZ38" s="122"/>
      <c r="IA38" s="122"/>
      <c r="IB38" s="122"/>
      <c r="IC38" s="122"/>
      <c r="ID38" s="122"/>
      <c r="IE38" s="122"/>
      <c r="IF38" s="122"/>
      <c r="IG38" s="122"/>
      <c r="IH38" s="122"/>
      <c r="II38" s="121" t="s">
        <v>98</v>
      </c>
      <c r="IJ38" s="121" t="s">
        <v>102</v>
      </c>
      <c r="IK38" s="121" t="s">
        <v>102</v>
      </c>
      <c r="IL38" s="121" t="s">
        <v>98</v>
      </c>
      <c r="IM38" s="121" t="s">
        <v>97</v>
      </c>
      <c r="IN38" s="121" t="s">
        <v>98</v>
      </c>
      <c r="IO38" s="121" t="s">
        <v>121</v>
      </c>
      <c r="IP38" s="121" t="s">
        <v>96</v>
      </c>
      <c r="IQ38" s="121" t="s">
        <v>123</v>
      </c>
      <c r="IR38" s="121" t="s">
        <v>98</v>
      </c>
      <c r="IS38" s="121" t="s">
        <v>125</v>
      </c>
      <c r="IT38" s="121" t="s">
        <v>135</v>
      </c>
      <c r="IU38" s="121" t="s">
        <v>118</v>
      </c>
      <c r="IV38" s="121" t="s">
        <v>126</v>
      </c>
      <c r="IW38" s="121" t="s">
        <v>97</v>
      </c>
      <c r="IX38" s="121" t="s">
        <v>145</v>
      </c>
      <c r="IY38" s="121"/>
      <c r="IZ38" s="121" t="s">
        <v>146</v>
      </c>
      <c r="JA38" s="121"/>
      <c r="JB38" s="121"/>
      <c r="JC38" s="121"/>
      <c r="JD38" s="121"/>
      <c r="JE38" s="121"/>
      <c r="JF38" s="121"/>
      <c r="JG38" s="122" t="s">
        <v>100</v>
      </c>
      <c r="JH38" s="122" t="s">
        <v>123</v>
      </c>
      <c r="JI38" s="122" t="s">
        <v>119</v>
      </c>
      <c r="JJ38" s="122" t="s">
        <v>126</v>
      </c>
      <c r="JK38" s="122" t="s">
        <v>122</v>
      </c>
      <c r="JL38" s="122" t="s">
        <v>101</v>
      </c>
      <c r="JM38" s="122" t="s">
        <v>99</v>
      </c>
      <c r="JN38" s="122" t="s">
        <v>97</v>
      </c>
      <c r="JO38" s="122" t="s">
        <v>102</v>
      </c>
      <c r="JP38" s="122" t="s">
        <v>102</v>
      </c>
      <c r="JQ38" s="122" t="s">
        <v>98</v>
      </c>
      <c r="JR38" s="122" t="s">
        <v>135</v>
      </c>
      <c r="JS38" s="122" t="s">
        <v>120</v>
      </c>
      <c r="JT38" s="122" t="s">
        <v>120</v>
      </c>
      <c r="JU38" s="122" t="s">
        <v>120</v>
      </c>
      <c r="JV38" s="122"/>
      <c r="JW38" s="122"/>
      <c r="JX38" s="122"/>
      <c r="JY38" s="122"/>
      <c r="JZ38" s="122" t="s">
        <v>146</v>
      </c>
      <c r="KA38" s="122" t="s">
        <v>144</v>
      </c>
      <c r="KB38" s="122" t="s">
        <v>143</v>
      </c>
      <c r="KC38" s="122" t="s">
        <v>143</v>
      </c>
      <c r="KD38" s="122" t="s">
        <v>143</v>
      </c>
    </row>
    <row r="39" spans="1:290" ht="18" customHeight="1" x14ac:dyDescent="0.4">
      <c r="A39" s="146"/>
      <c r="B39" s="148"/>
      <c r="C39" s="125" t="str">
        <f>IFERROR(VLOOKUP(C38,教师安排!$A:$Y,C$2+1,FALSE),"")</f>
        <v>周兴玲</v>
      </c>
      <c r="D39" s="125" t="str">
        <f>IFERROR(VLOOKUP(D38,教师安排!$A:$Y,D$2+1,FALSE),"")</f>
        <v>岳/厉</v>
      </c>
      <c r="E39" s="125" t="str">
        <f>IFERROR(VLOOKUP(E38,教师安排!$A:$Y,E$2+1,FALSE),"")</f>
        <v>岳/厉</v>
      </c>
      <c r="F39" s="125" t="str">
        <f>IFERROR(VLOOKUP(F38,教师安排!$A:$Y,F$2+1,FALSE),"")</f>
        <v>史振塞</v>
      </c>
      <c r="G39" s="125" t="str">
        <f>IFERROR(VLOOKUP(G38,教师安排!$A:$Y,G$2+1,FALSE),"")</f>
        <v>李振铎</v>
      </c>
      <c r="H39" s="125" t="str">
        <f>IFERROR(VLOOKUP(H38,教师安排!$A:$Y,H$2+1,FALSE),"")</f>
        <v>王露</v>
      </c>
      <c r="I39" s="125" t="str">
        <f>IFERROR(VLOOKUP(I38,教师安排!$A:$Y,I$2+1,FALSE),"")</f>
        <v>范林林</v>
      </c>
      <c r="J39" s="125" t="str">
        <f>IFERROR(VLOOKUP(J38,教师安排!$A:$Y,J$2+1,FALSE),"")</f>
        <v>路睿</v>
      </c>
      <c r="K39" s="125" t="str">
        <f>IFERROR(VLOOKUP(K38,教师安排!$A:$Y,K$2+1,FALSE),"")</f>
        <v>刘腾</v>
      </c>
      <c r="L39" s="125" t="str">
        <f>IFERROR(VLOOKUP(L38,教师安排!$A:$Y,L$2+1,FALSE),"")</f>
        <v>孙娜</v>
      </c>
      <c r="M39" s="125" t="str">
        <f>IFERROR(VLOOKUP(M38,教师安排!$A:$Y,M$2+1,FALSE),"")</f>
        <v>孙锦锦</v>
      </c>
      <c r="N39" s="125">
        <f>IFERROR(VLOOKUP(N38,教师安排!$A:$Y,N$2+1,FALSE),"")</f>
        <v>0</v>
      </c>
      <c r="O39" s="125" t="str">
        <f>IFERROR(VLOOKUP(O38,教师安排!$A:$Y,O$2+1,FALSE),"")</f>
        <v>夏文杰</v>
      </c>
      <c r="P39" s="125" t="str">
        <f>IFERROR(VLOOKUP(P38,教师安排!$A:$Y,P$2+1,FALSE),"")</f>
        <v>姜媛媛</v>
      </c>
      <c r="Q39" s="125" t="str">
        <f>IFERROR(VLOOKUP(Q38,教师安排!$A:$Y,Q$2+1,FALSE),"")</f>
        <v>孙秋杰</v>
      </c>
      <c r="R39" s="125" t="str">
        <f>IFERROR(VLOOKUP(R38,教师安排!$A:$Y,R$2+1,FALSE),"")</f>
        <v/>
      </c>
      <c r="S39" s="125" t="str">
        <f>IFERROR(VLOOKUP(S38,教师安排!$A:$Y,S$2+1,FALSE),"")</f>
        <v>岳海霞</v>
      </c>
      <c r="T39" s="125" t="str">
        <f>IFERROR(VLOOKUP(T38,教师安排!$A:$Y,T$2+1,FALSE),"")</f>
        <v/>
      </c>
      <c r="U39" s="125" t="str">
        <f>IFERROR(VLOOKUP(U38,教师安排!$A:$Y,U$2+1,FALSE),"")</f>
        <v>厉彦龙</v>
      </c>
      <c r="V39" s="125"/>
      <c r="W39" s="125" t="str">
        <f>IFERROR(VLOOKUP(W38,教师安排!$A:$Y,W$2+1,FALSE),"")</f>
        <v/>
      </c>
      <c r="X39" s="125" t="str">
        <f>IFERROR(VLOOKUP(X38,教师安排!$A:$Y,X$2+1,FALSE),"")</f>
        <v/>
      </c>
      <c r="Y39" s="125" t="str">
        <f>IFERROR(VLOOKUP(Y38,教师安排!$A:$Y,Y$2+1,FALSE),"")</f>
        <v/>
      </c>
      <c r="Z39" s="125" t="str">
        <f>IFERROR(VLOOKUP(Z38,教师安排!$A:$Y,Z$2+1,FALSE),"")</f>
        <v/>
      </c>
      <c r="AA39" s="126" t="str">
        <f>IFERROR(VLOOKUP(AA38,教师安排!$A:$Y,AA$2+1,FALSE),"")</f>
        <v>李会玲</v>
      </c>
      <c r="AB39" s="126" t="str">
        <f>IFERROR(VLOOKUP(AB38,教师安排!$A:$Y,AB$2+1,FALSE),"")</f>
        <v>姚来朋</v>
      </c>
      <c r="AC39" s="126" t="str">
        <f>IFERROR(VLOOKUP(AC38,教师安排!$A:$Y,AC$2+1,FALSE),"")</f>
        <v>张雯皓</v>
      </c>
      <c r="AD39" s="126" t="str">
        <f>IFERROR(VLOOKUP(AD38,教师安排!$A:$Y,AD$2+1,FALSE),"")</f>
        <v>康波</v>
      </c>
      <c r="AE39" s="126" t="str">
        <f>IFERROR(VLOOKUP(AE38,教师安排!$A:$Y,AE$2+1,FALSE),"")</f>
        <v>王灼</v>
      </c>
      <c r="AF39" s="126" t="str">
        <f>IFERROR(VLOOKUP(AF38,教师安排!$A:$Y,AF$2+1,FALSE),"")</f>
        <v>翟淑玮</v>
      </c>
      <c r="AG39" s="126" t="str">
        <f>IFERROR(VLOOKUP(AG38,教师安排!$A:$Y,AG$2+1,FALSE),"")</f>
        <v>韩丽梅</v>
      </c>
      <c r="AH39" s="126" t="str">
        <f>IFERROR(VLOOKUP(AH38,教师安排!$A:$Y,AH$2+1,FALSE),"")</f>
        <v>孙秋杰</v>
      </c>
      <c r="AI39" s="126" t="str">
        <f>IFERROR(VLOOKUP(AI38,教师安排!$A:$Y,AI$2+1,FALSE),"")</f>
        <v>王硕</v>
      </c>
      <c r="AJ39" s="126" t="str">
        <f>IFERROR(VLOOKUP(AJ38,教师安排!$A:$Y,AJ$2+1,FALSE),"")</f>
        <v>胡存想</v>
      </c>
      <c r="AK39" s="126" t="str">
        <f>IFERROR(VLOOKUP(AK38,教师安排!$A:$Y,AK$2+1,FALSE),"")</f>
        <v>孙锦锦</v>
      </c>
      <c r="AL39" s="126">
        <f>IFERROR(VLOOKUP(AL38,教师安排!$A:$Y,AL$2+1,FALSE),"")</f>
        <v>0</v>
      </c>
      <c r="AM39" s="126" t="str">
        <f>IFERROR(VLOOKUP(AM38,教师安排!$A:$Y,AM$2+1,FALSE),"")</f>
        <v>李浩然</v>
      </c>
      <c r="AN39" s="126" t="str">
        <f>IFERROR(VLOOKUP(AN38,教师安排!$A:$Y,AN$2+1,FALSE),"")</f>
        <v>董艳华</v>
      </c>
      <c r="AO39" s="126" t="str">
        <f>IFERROR(VLOOKUP(AO38,教师安排!$A:$Y,AO$2+1,FALSE),"")</f>
        <v>路睿</v>
      </c>
      <c r="AP39" s="126" t="str">
        <f>IFERROR(VLOOKUP(AP38,教师安排!$A:$Y,AP$2+1,FALSE),"")</f>
        <v/>
      </c>
      <c r="AQ39" s="126" t="str">
        <f>IFERROR(VLOOKUP(AQ38,教师安排!$A:$Y,AQ$2+1,FALSE),"")</f>
        <v/>
      </c>
      <c r="AR39" s="126" t="str">
        <f>IFERROR(VLOOKUP(AR38,教师安排!$A:$Y,AR$2+1,FALSE),"")</f>
        <v/>
      </c>
      <c r="AS39" s="126" t="str">
        <f>IFERROR(VLOOKUP(AS38,教师安排!$A:$Y,AS$2+1,FALSE),"")</f>
        <v/>
      </c>
      <c r="AT39" s="126"/>
      <c r="AU39" s="126" t="str">
        <f>IFERROR(VLOOKUP(AU38,教师安排!$A:$Y,AU$2+1,FALSE),"")</f>
        <v/>
      </c>
      <c r="AV39" s="126" t="str">
        <f>IFERROR(VLOOKUP(AV38,教师安排!$A:$Y,AV$2+1,FALSE),"")</f>
        <v/>
      </c>
      <c r="AW39" s="126" t="str">
        <f>IFERROR(VLOOKUP(AW38,教师安排!$A:$Y,AW$2+1,FALSE),"")</f>
        <v/>
      </c>
      <c r="AX39" s="126" t="str">
        <f>IFERROR(VLOOKUP(AX38,教师安排!$A:$Y,AX$2+1,FALSE),"")</f>
        <v/>
      </c>
      <c r="AY39" s="125" t="str">
        <f>IFERROR(VLOOKUP(AY38,教师安排!$A:$Y,AY$2+1,FALSE),"")</f>
        <v>马崇庆</v>
      </c>
      <c r="AZ39" s="125" t="str">
        <f>IFERROR(VLOOKUP(AZ38,教师安排!$A:$Y,AZ$2+1,FALSE),"")</f>
        <v>史振塞</v>
      </c>
      <c r="BA39" s="125" t="str">
        <f>IFERROR(VLOOKUP(BA38,教师安排!$A:$Y,BA$2+1,FALSE),"")</f>
        <v>杨彬</v>
      </c>
      <c r="BB39" s="125" t="str">
        <f>IFERROR(VLOOKUP(BB38,教师安排!$A:$Y,BB$2+1,FALSE),"")</f>
        <v>刘珊珊</v>
      </c>
      <c r="BC39" s="125" t="str">
        <f>IFERROR(VLOOKUP(BC38,教师安排!$A:$Y,BC$2+1,FALSE),"")</f>
        <v>赵雪敏</v>
      </c>
      <c r="BD39" s="125" t="str">
        <f>IFERROR(VLOOKUP(BD38,教师安排!$A:$Y,BD$2+1,FALSE),"")</f>
        <v>王露</v>
      </c>
      <c r="BE39" s="125" t="str">
        <f>IFERROR(VLOOKUP(BE38,教师安排!$A:$Y,BE$2+1,FALSE),"")</f>
        <v>王雪莲</v>
      </c>
      <c r="BF39" s="125" t="str">
        <f>IFERROR(VLOOKUP(BF38,教师安排!$A:$Y,BF$2+1,FALSE),"")</f>
        <v>宋开元</v>
      </c>
      <c r="BG39" s="125" t="str">
        <f>IFERROR(VLOOKUP(BG38,教师安排!$A:$Y,BG$2+1,FALSE),"")</f>
        <v>张冰雪</v>
      </c>
      <c r="BH39" s="125" t="str">
        <f>IFERROR(VLOOKUP(BH38,教师安排!$A:$Y,BH$2+1,FALSE),"")</f>
        <v>蒋心言</v>
      </c>
      <c r="BI39" s="125" t="str">
        <f>IFERROR(VLOOKUP(BI38,教师安排!$A:$Y,BI$2+1,FALSE),"")</f>
        <v>范林林</v>
      </c>
      <c r="BJ39" s="125">
        <f>IFERROR(VLOOKUP(BJ38,教师安排!$A:$Y,BJ$2+1,FALSE),"")</f>
        <v>0</v>
      </c>
      <c r="BK39" s="125" t="str">
        <f>IFERROR(VLOOKUP(BK38,教师安排!$A:$Y,BK$2+1,FALSE),"")</f>
        <v>夏文杰</v>
      </c>
      <c r="BL39" s="125" t="str">
        <f>IFERROR(VLOOKUP(BL38,教师安排!$A:$Y,BL$2+1,FALSE),"")</f>
        <v>姜媛媛</v>
      </c>
      <c r="BM39" s="125" t="str">
        <f>IFERROR(VLOOKUP(BM38,教师安排!$A:$Y,BM$2+1,FALSE),"")</f>
        <v>高文凤</v>
      </c>
      <c r="BN39" s="125" t="str">
        <f>IFERROR(VLOOKUP(BN38,教师安排!$A:$Y,BN$2+1,FALSE),"")</f>
        <v/>
      </c>
      <c r="BO39" s="125" t="str">
        <f>IFERROR(VLOOKUP(BO38,教师安排!$A:$Y,BO$2+1,FALSE),"")</f>
        <v/>
      </c>
      <c r="BP39" s="125" t="str">
        <f>IFERROR(VLOOKUP(BP38,教师安排!$A:$Y,BP$2+1,FALSE),"")</f>
        <v/>
      </c>
      <c r="BQ39" s="125" t="str">
        <f>IFERROR(VLOOKUP(BQ38,教师安排!$A:$Y,BQ$2+1,FALSE),"")</f>
        <v/>
      </c>
      <c r="BR39" s="125"/>
      <c r="BS39" s="125" t="str">
        <f>IFERROR(VLOOKUP(BS38,教师安排!$A:$Y,BS$2+1,FALSE),"")</f>
        <v/>
      </c>
      <c r="BT39" s="125" t="str">
        <f>IFERROR(VLOOKUP(BT38,教师安排!$A:$Y,BT$2+1,FALSE),"")</f>
        <v/>
      </c>
      <c r="BU39" s="125" t="str">
        <f>IFERROR(VLOOKUP(BU38,教师安排!$A:$Y,BU$2+1,FALSE),"")</f>
        <v/>
      </c>
      <c r="BV39" s="125" t="str">
        <f>IFERROR(VLOOKUP(BV38,教师安排!$A:$Y,BV$2+1,FALSE),"")</f>
        <v/>
      </c>
      <c r="BW39" s="126" t="str">
        <f>IFERROR(VLOOKUP(BW38,教师安排!$A:$Y,BW$2+1,FALSE),"")</f>
        <v>岳/厉</v>
      </c>
      <c r="BX39" s="126" t="str">
        <f>IFERROR(VLOOKUP(BX38,教师安排!$A:$Y,BX$2+1,FALSE),"")</f>
        <v>田凤美</v>
      </c>
      <c r="BY39" s="126" t="str">
        <f>IFERROR(VLOOKUP(BY38,教师安排!$A:$Y,BY$2+1,FALSE),"")</f>
        <v>李雯</v>
      </c>
      <c r="BZ39" s="126" t="str">
        <f>IFERROR(VLOOKUP(BZ38,教师安排!$A:$Y,BZ$2+1,FALSE),"")</f>
        <v>岳/厉</v>
      </c>
      <c r="CA39" s="126" t="str">
        <f>IFERROR(VLOOKUP(CA38,教师安排!$A:$Y,CA$2+1,FALSE),"")</f>
        <v>赵雪敏</v>
      </c>
      <c r="CB39" s="126" t="str">
        <f>IFERROR(VLOOKUP(CB38,教师安排!$A:$Y,CB$2+1,FALSE),"")</f>
        <v>翟淑玮</v>
      </c>
      <c r="CC39" s="126" t="str">
        <f>IFERROR(VLOOKUP(CC38,教师安排!$A:$Y,CC$2+1,FALSE),"")</f>
        <v>孙存义</v>
      </c>
      <c r="CD39" s="126" t="str">
        <f>IFERROR(VLOOKUP(CD38,教师安排!$A:$Y,CD$2+1,FALSE),"")</f>
        <v>宋平</v>
      </c>
      <c r="CE39" s="126" t="str">
        <f>IFERROR(VLOOKUP(CE38,教师安排!$A:$Y,CE$2+1,FALSE),"")</f>
        <v>王灼</v>
      </c>
      <c r="CF39" s="126" t="str">
        <f>IFERROR(VLOOKUP(CF38,教师安排!$A:$Y,CF$2+1,FALSE),"")</f>
        <v>王菲</v>
      </c>
      <c r="CG39" s="126" t="str">
        <f>IFERROR(VLOOKUP(CG38,教师安排!$A:$Y,CG$2+1,FALSE),"")</f>
        <v>路睿</v>
      </c>
      <c r="CH39" s="126">
        <f>IFERROR(VLOOKUP(CH38,教师安排!$A:$Y,CH$2+1,FALSE),"")</f>
        <v>0</v>
      </c>
      <c r="CI39" s="126" t="str">
        <f>IFERROR(VLOOKUP(CI38,教师安排!$A:$Y,CI$2+1,FALSE),"")</f>
        <v>李浩然</v>
      </c>
      <c r="CJ39" s="126" t="str">
        <f>IFERROR(VLOOKUP(CJ38,教师安排!$A:$Y,CJ$2+1,FALSE),"")</f>
        <v>孙锦锦</v>
      </c>
      <c r="CK39" s="126" t="str">
        <f>IFERROR(VLOOKUP(CK38,教师安排!$A:$Y,CK$2+1,FALSE),"")</f>
        <v>高文凤</v>
      </c>
      <c r="CL39" s="126" t="str">
        <f>IFERROR(VLOOKUP(CL38,教师安排!$A:$Y,CL$2+1,FALSE),"")</f>
        <v>岳海霞</v>
      </c>
      <c r="CM39" s="126" t="str">
        <f>IFERROR(VLOOKUP(CM38,教师安排!$A:$Y,CM$2+1,FALSE),"")</f>
        <v/>
      </c>
      <c r="CN39" s="126" t="str">
        <f>IFERROR(VLOOKUP(CN38,教师安排!$A:$Y,CN$2+1,FALSE),"")</f>
        <v>厉彦龙</v>
      </c>
      <c r="CO39" s="126" t="str">
        <f>IFERROR(VLOOKUP(CO38,教师安排!$A:$Y,CO$2+1,FALSE),"")</f>
        <v/>
      </c>
      <c r="CP39" s="126" t="str">
        <f>IFERROR(VLOOKUP(CP38,教师安排!$A:$Y,CP$2+1,FALSE),"")</f>
        <v/>
      </c>
      <c r="CQ39" s="126"/>
      <c r="CR39" s="126" t="str">
        <f>IFERROR(VLOOKUP(CR38,教师安排!$A:$Y,CR$2+1,FALSE),"")</f>
        <v/>
      </c>
      <c r="CS39" s="126" t="str">
        <f>IFERROR(VLOOKUP(CS38,教师安排!$A:$Y,CS$2+1,FALSE),"")</f>
        <v/>
      </c>
      <c r="CT39" s="126" t="str">
        <f>IFERROR(VLOOKUP(CT38,教师安排!$A:$Y,CT$2+1,FALSE),"")</f>
        <v/>
      </c>
      <c r="CU39" s="125" t="str">
        <f>IFERROR(VLOOKUP(CU38,教师安排!$A:$Y,CU$2+1,FALSE),"")</f>
        <v>马崇庆</v>
      </c>
      <c r="CV39" s="125" t="str">
        <f>IFERROR(VLOOKUP(CV38,教师安排!$A:$Y,CV$2+1,FALSE),"")</f>
        <v>周兴玲</v>
      </c>
      <c r="CW39" s="125" t="str">
        <f>IFERROR(VLOOKUP(CW38,教师安排!$A:$Y,CW$2+1,FALSE),"")</f>
        <v>姚来朋</v>
      </c>
      <c r="CX39" s="125" t="str">
        <f>IFERROR(VLOOKUP(CX38,教师安排!$A:$Y,CX$2+1,FALSE),"")</f>
        <v>李会玲</v>
      </c>
      <c r="CY39" s="125" t="str">
        <f>IFERROR(VLOOKUP(CY38,教师安排!$A:$Y,CY$2+1,FALSE),"")</f>
        <v>刘腾</v>
      </c>
      <c r="CZ39" s="125" t="str">
        <f>IFERROR(VLOOKUP(CZ38,教师安排!$A:$Y,CZ$2+1,FALSE),"")</f>
        <v>蒋心言</v>
      </c>
      <c r="DA39" s="125" t="str">
        <f>IFERROR(VLOOKUP(DA38,教师安排!$A:$Y,DA$2+1,FALSE),"")</f>
        <v>范林林</v>
      </c>
      <c r="DB39" s="125" t="str">
        <f>IFERROR(VLOOKUP(DB38,教师安排!$A:$Y,DB$2+1,FALSE),"")</f>
        <v>高文凤</v>
      </c>
      <c r="DC39" s="125" t="str">
        <f>IFERROR(VLOOKUP(DC38,教师安排!$A:$Y,DC$2+1,FALSE),"")</f>
        <v>田凤美</v>
      </c>
      <c r="DD39" s="125" t="str">
        <f>IFERROR(VLOOKUP(DD38,教师安排!$A:$Y,DD$2+1,FALSE),"")</f>
        <v>董艳华</v>
      </c>
      <c r="DE39" s="125" t="str">
        <f>IFERROR(VLOOKUP(DE38,教师安排!$A:$Y,DE$2+1,FALSE),"")</f>
        <v>王/宋/翟/胡</v>
      </c>
      <c r="DF39" s="125">
        <f>IFERROR(VLOOKUP(DF38,教师安排!$A:$Y,DF$2+1,FALSE),"")</f>
        <v>0</v>
      </c>
      <c r="DG39" s="125" t="str">
        <f>IFERROR(VLOOKUP(DG38,教师安排!$A:$Y,DG$2+1,FALSE),"")</f>
        <v>宋/韩/王</v>
      </c>
      <c r="DH39" s="125" t="str">
        <f>IFERROR(VLOOKUP(DH38,教师安排!$A:$Y,DH$2+1,FALSE),"")</f>
        <v>翟/韩/王</v>
      </c>
      <c r="DI39" s="125" t="str">
        <f>IFERROR(VLOOKUP(DI38,教师安排!$A:$Y,DI$2+1,FALSE),"")</f>
        <v>胡/韩/王</v>
      </c>
      <c r="DJ39" s="125" t="str">
        <f>IFERROR(VLOOKUP(DJ38,教师安排!$A:$Y,DJ$2+1,FALSE),"")</f>
        <v/>
      </c>
      <c r="DK39" s="125" t="str">
        <f>IFERROR(VLOOKUP(DK38,教师安排!$A:$Y,DK$2+1,FALSE),"")</f>
        <v/>
      </c>
      <c r="DL39" s="125" t="str">
        <f>IFERROR(VLOOKUP(DL38,教师安排!$A:$Y,DL$2+1,FALSE),"")</f>
        <v/>
      </c>
      <c r="DM39" s="125" t="str">
        <f>IFERROR(VLOOKUP(DM38,教师安排!$A:$Y,DM$2+1,FALSE),"")</f>
        <v/>
      </c>
      <c r="DN39" s="125" t="str">
        <f>IFERROR(VLOOKUP(DN38,教师安排!$A:$Y,DN$2+1,FALSE),"")</f>
        <v>王灼</v>
      </c>
      <c r="DO39" s="125" t="str">
        <f>IFERROR(VLOOKUP(DO38,教师安排!$A:$Y,DO$2+1,FALSE),"")</f>
        <v>韩丽梅</v>
      </c>
      <c r="DP39" s="125" t="str">
        <f>IFERROR(VLOOKUP(DP38,教师安排!$A:$Y,DP$2+1,FALSE),"")</f>
        <v>宋平</v>
      </c>
      <c r="DQ39" s="125" t="str">
        <f>IFERROR(VLOOKUP(DQ38,教师安排!$A:$Y,DQ$2+1,FALSE),"")</f>
        <v>翟淑玮</v>
      </c>
      <c r="DR39" s="125" t="str">
        <f>IFERROR(VLOOKUP(DR38,教师安排!$A:$Y,DR$2+1,FALSE),"")</f>
        <v>胡存想</v>
      </c>
      <c r="DS39" s="124" t="str">
        <f>IFERROR(VLOOKUP(DS38,教师安排!$A:$Y,DS$2+1,FALSE),"")</f>
        <v>侯淑贤</v>
      </c>
      <c r="DT39" s="124" t="str">
        <f>IFERROR(VLOOKUP(DT38,教师安排!$A:$Y,DT$2+1,FALSE),"")</f>
        <v>姚来朋</v>
      </c>
      <c r="DU39" s="124" t="str">
        <f>IFERROR(VLOOKUP(DU38,教师安排!$A:$Y,DU$2+1,FALSE),"")</f>
        <v>李会玲</v>
      </c>
      <c r="DV39" s="124" t="str">
        <f>IFERROR(VLOOKUP(DV38,教师安排!$A:$Y,DV$2+1,FALSE),"")</f>
        <v>李雯</v>
      </c>
      <c r="DW39" s="124" t="str">
        <f>IFERROR(VLOOKUP(DW38,教师安排!$A:$Y,DW$2+1,FALSE),"")</f>
        <v>赵雪敏</v>
      </c>
      <c r="DX39" s="124" t="str">
        <f>IFERROR(VLOOKUP(DX38,教师安排!$A:$Y,DX$2+1,FALSE),"")</f>
        <v>王露</v>
      </c>
      <c r="DY39" s="124" t="str">
        <f>IFERROR(VLOOKUP(DY38,教师安排!$A:$Y,DY$2+1,FALSE),"")</f>
        <v>王雪莲</v>
      </c>
      <c r="DZ39" s="124" t="str">
        <f>IFERROR(VLOOKUP(DZ38,教师安排!$A:$Y,DZ$2+1,FALSE),"")</f>
        <v>高文凤</v>
      </c>
      <c r="EA39" s="124" t="str">
        <f>IFERROR(VLOOKUP(EA38,教师安排!$A:$Y,EA$2+1,FALSE),"")</f>
        <v>张冰雪</v>
      </c>
      <c r="EB39" s="124" t="str">
        <f>IFERROR(VLOOKUP(EB38,教师安排!$A:$Y,EB$2+1,FALSE),"")</f>
        <v>孙娜</v>
      </c>
      <c r="EC39" s="124" t="str">
        <f>IFERROR(VLOOKUP(EC38,教师安排!$A:$Y,EC$2+1,FALSE),"")</f>
        <v>王/宋/翟/胡</v>
      </c>
      <c r="ED39" s="124">
        <f>IFERROR(VLOOKUP(ED38,教师安排!$A:$Y,ED$2+1,FALSE),"")</f>
        <v>0</v>
      </c>
      <c r="EE39" s="124" t="str">
        <f>IFERROR(VLOOKUP(EE38,教师安排!$A:$Y,EE$2+1,FALSE),"")</f>
        <v>宋/韩/王</v>
      </c>
      <c r="EF39" s="124" t="str">
        <f>IFERROR(VLOOKUP(EF38,教师安排!$A:$Y,EF$2+1,FALSE),"")</f>
        <v>翟/韩/王</v>
      </c>
      <c r="EG39" s="124" t="str">
        <f>IFERROR(VLOOKUP(EG38,教师安排!$A:$Y,EG$2+1,FALSE),"")</f>
        <v>胡/韩/王</v>
      </c>
      <c r="EH39" s="124" t="str">
        <f>IFERROR(VLOOKUP(EH38,教师安排!$A:$Y,EH$2+1,FALSE),"")</f>
        <v/>
      </c>
      <c r="EI39" s="124" t="str">
        <f>IFERROR(VLOOKUP(EI38,教师安排!$A:$Y,EI$2+1,FALSE),"")</f>
        <v/>
      </c>
      <c r="EJ39" s="124" t="str">
        <f>IFERROR(VLOOKUP(EJ38,教师安排!$A:$Y,EJ$2+1,FALSE),"")</f>
        <v/>
      </c>
      <c r="EK39" s="124" t="str">
        <f>IFERROR(VLOOKUP(EK38,教师安排!$A:$Y,EK$2+1,FALSE),"")</f>
        <v/>
      </c>
      <c r="EL39" s="124" t="str">
        <f>IFERROR(VLOOKUP(EL38,教师安排!$A:$Y,EL$2+1,FALSE),"")</f>
        <v>王灼</v>
      </c>
      <c r="EM39" s="124" t="str">
        <f>IFERROR(VLOOKUP(EM38,教师安排!$A:$Y,EM$2+1,FALSE),"")</f>
        <v>韩丽梅</v>
      </c>
      <c r="EN39" s="124" t="str">
        <f>IFERROR(VLOOKUP(EN38,教师安排!$A:$Y,EN$2+1,FALSE),"")</f>
        <v>宋平</v>
      </c>
      <c r="EO39" s="124" t="str">
        <f>IFERROR(VLOOKUP(EO38,教师安排!$A:$Y,EO$2+1,FALSE),"")</f>
        <v>翟淑玮</v>
      </c>
      <c r="EP39" s="124" t="str">
        <f>IFERROR(VLOOKUP(EP38,教师安排!$A:$Y,EP$2+1,FALSE),"")</f>
        <v>胡存想</v>
      </c>
      <c r="EQ39" s="123" t="str">
        <f>IFERROR(VLOOKUP(EQ38,教师安排!$A:$Y,EQ$2+1,FALSE),"")</f>
        <v>刘珊珊</v>
      </c>
      <c r="ER39" s="123" t="str">
        <f>IFERROR(VLOOKUP(ER38,教师安排!$A:$Y,ER$2+1,FALSE),"")</f>
        <v>岳/厉</v>
      </c>
      <c r="ES39" s="123" t="str">
        <f>IFERROR(VLOOKUP(ES38,教师安排!$A:$Y,ES$2+1,FALSE),"")</f>
        <v>岳/厉</v>
      </c>
      <c r="ET39" s="123" t="str">
        <f>IFERROR(VLOOKUP(ET38,教师安排!$A:$Y,ET$2+1,FALSE),"")</f>
        <v>史振塞</v>
      </c>
      <c r="EU39" s="123" t="str">
        <f>IFERROR(VLOOKUP(EU38,教师安排!$A:$Y,EU$2+1,FALSE),"")</f>
        <v>李振铎</v>
      </c>
      <c r="EV39" s="123" t="str">
        <f>IFERROR(VLOOKUP(EV38,教师安排!$A:$Y,EV$2+1,FALSE),"")</f>
        <v>孙存义</v>
      </c>
      <c r="EW39" s="123" t="str">
        <f>IFERROR(VLOOKUP(EW38,教师安排!$A:$Y,EW$2+1,FALSE),"")</f>
        <v>孙锦锦</v>
      </c>
      <c r="EX39" s="123" t="str">
        <f>IFERROR(VLOOKUP(EX38,教师安排!$A:$Y,EX$2+1,FALSE),"")</f>
        <v>康波</v>
      </c>
      <c r="EY39" s="123" t="str">
        <f>IFERROR(VLOOKUP(EY38,教师安排!$A:$Y,EY$2+1,FALSE),"")</f>
        <v>王灼</v>
      </c>
      <c r="EZ39" s="123" t="str">
        <f>IFERROR(VLOOKUP(EZ38,教师安排!$A:$Y,EZ$2+1,FALSE),"")</f>
        <v>王菲</v>
      </c>
      <c r="FA39" s="123" t="str">
        <f>IFERROR(VLOOKUP(FA38,教师安排!$A:$Y,FA$2+1,FALSE),"")</f>
        <v>范林林</v>
      </c>
      <c r="FB39" s="123">
        <f>IFERROR(VLOOKUP(FB38,教师安排!$A:$Y,FB$2+1,FALSE),"")</f>
        <v>0</v>
      </c>
      <c r="FC39" s="123" t="str">
        <f>IFERROR(VLOOKUP(FC38,教师安排!$A:$Y,FC$2+1,FALSE),"")</f>
        <v>王硕</v>
      </c>
      <c r="FD39" s="123" t="str">
        <f>IFERROR(VLOOKUP(FD38,教师安排!$A:$Y,FD$2+1,FALSE),"")</f>
        <v>李浩然</v>
      </c>
      <c r="FE39" s="123" t="str">
        <f>IFERROR(VLOOKUP(FE38,教师安排!$A:$Y,FE$2+1,FALSE),"")</f>
        <v>张鑫</v>
      </c>
      <c r="FF39" s="123" t="str">
        <f>IFERROR(VLOOKUP(FF38,教师安排!$A:$Y,FF$2+1,FALSE),"")</f>
        <v/>
      </c>
      <c r="FG39" s="123" t="str">
        <f>IFERROR(VLOOKUP(FG38,教师安排!$A:$Y,FG$2+1,FALSE),"")</f>
        <v>岳海霞</v>
      </c>
      <c r="FH39" s="123" t="str">
        <f>IFERROR(VLOOKUP(FH38,教师安排!$A:$Y,FH$2+1,FALSE),"")</f>
        <v/>
      </c>
      <c r="FI39" s="123" t="str">
        <f>IFERROR(VLOOKUP(FI38,教师安排!$A:$Y,FI$2+1,FALSE),"")</f>
        <v>厉彦龙</v>
      </c>
      <c r="FJ39" s="123"/>
      <c r="FK39" s="123" t="str">
        <f>IFERROR(VLOOKUP(FK38,教师安排!$A:$Y,FK$2+1,FALSE),"")</f>
        <v/>
      </c>
      <c r="FL39" s="123" t="str">
        <f>IFERROR(VLOOKUP(FL38,教师安排!$A:$Y,FL$2+1,FALSE),"")</f>
        <v/>
      </c>
      <c r="FM39" s="123" t="str">
        <f>IFERROR(VLOOKUP(FM38,教师安排!$A:$Y,FM$2+1,FALSE),"")</f>
        <v/>
      </c>
      <c r="FN39" s="123" t="str">
        <f>IFERROR(VLOOKUP(FN38,教师安排!$A:$Y,FN$2+1,FALSE),"")</f>
        <v/>
      </c>
      <c r="FO39" s="126" t="str">
        <f>IFERROR(VLOOKUP(FO38,教师安排!$A:$Y,FO$2+1,FALSE),"")</f>
        <v>周兴玲</v>
      </c>
      <c r="FP39" s="126" t="str">
        <f>IFERROR(VLOOKUP(FP38,教师安排!$A:$Y,FP$2+1,FALSE),"")</f>
        <v>岳/厉</v>
      </c>
      <c r="FQ39" s="126" t="str">
        <f>IFERROR(VLOOKUP(FQ38,教师安排!$A:$Y,FQ$2+1,FALSE),"")</f>
        <v>岳/厉</v>
      </c>
      <c r="FR39" s="126" t="str">
        <f>IFERROR(VLOOKUP(FR38,教师安排!$A:$Y,FR$2+1,FALSE),"")</f>
        <v>史振塞</v>
      </c>
      <c r="FS39" s="126" t="str">
        <f>IFERROR(VLOOKUP(FS38,教师安排!$A:$Y,FS$2+1,FALSE),"")</f>
        <v>李振铎</v>
      </c>
      <c r="FT39" s="126" t="str">
        <f>IFERROR(VLOOKUP(FT38,教师安排!$A:$Y,FT$2+1,FALSE),"")</f>
        <v>姜媛媛</v>
      </c>
      <c r="FU39" s="126" t="str">
        <f>IFERROR(VLOOKUP(FU38,教师安排!$A:$Y,FU$2+1,FALSE),"")</f>
        <v>范林林</v>
      </c>
      <c r="FV39" s="126" t="str">
        <f>IFERROR(VLOOKUP(FV38,教师安排!$A:$Y,FV$2+1,FALSE),"")</f>
        <v>路睿</v>
      </c>
      <c r="FW39" s="126" t="str">
        <f>IFERROR(VLOOKUP(FW38,教师安排!$A:$Y,FW$2+1,FALSE),"")</f>
        <v>刘腾</v>
      </c>
      <c r="FX39" s="126" t="str">
        <f>IFERROR(VLOOKUP(FX38,教师安排!$A:$Y,FX$2+1,FALSE),"")</f>
        <v>孙娜</v>
      </c>
      <c r="FY39" s="126" t="str">
        <f>IFERROR(VLOOKUP(FY38,教师安排!$A:$Y,FY$2+1,FALSE),"")</f>
        <v>田凤美</v>
      </c>
      <c r="FZ39" s="126">
        <f>IFERROR(VLOOKUP(FZ38,教师安排!$A:$Y,FZ$2+1,FALSE),"")</f>
        <v>0</v>
      </c>
      <c r="GA39" s="126" t="str">
        <f>IFERROR(VLOOKUP(GA38,教师安排!$A:$Y,GA$2+1,FALSE),"")</f>
        <v>夏文杰</v>
      </c>
      <c r="GB39" s="126" t="str">
        <f>IFERROR(VLOOKUP(GB38,教师安排!$A:$Y,GB$2+1,FALSE),"")</f>
        <v>王露</v>
      </c>
      <c r="GC39" s="126" t="str">
        <f>IFERROR(VLOOKUP(GC38,教师安排!$A:$Y,GC$2+1,FALSE),"")</f>
        <v>孙秋杰</v>
      </c>
      <c r="GD39" s="126" t="str">
        <f>IFERROR(VLOOKUP(GD38,教师安排!$A:$Y,GD$2+1,FALSE),"")</f>
        <v/>
      </c>
      <c r="GE39" s="126" t="str">
        <f>IFERROR(VLOOKUP(GE38,教师安排!$A:$Y,GE$2+1,FALSE),"")</f>
        <v>岳海霞</v>
      </c>
      <c r="GF39" s="126" t="str">
        <f>IFERROR(VLOOKUP(GF38,教师安排!$A:$Y,GF$2+1,FALSE),"")</f>
        <v/>
      </c>
      <c r="GG39" s="126" t="str">
        <f>IFERROR(VLOOKUP(GG38,教师安排!$A:$Y,GG$2+1,FALSE),"")</f>
        <v>厉彦龙</v>
      </c>
      <c r="GH39" s="126"/>
      <c r="GI39" s="126" t="str">
        <f>IFERROR(VLOOKUP(GI38,教师安排!$A:$Y,GI$2+1,FALSE),"")</f>
        <v/>
      </c>
      <c r="GJ39" s="126" t="str">
        <f>IFERROR(VLOOKUP(GJ38,教师安排!$A:$Y,GJ$2+1,FALSE),"")</f>
        <v/>
      </c>
      <c r="GK39" s="126" t="str">
        <f>IFERROR(VLOOKUP(GK38,教师安排!$A:$Y,GK$2+1,FALSE),"")</f>
        <v/>
      </c>
      <c r="GL39" s="126" t="str">
        <f>IFERROR(VLOOKUP(GL38,教师安排!$A:$Y,GL$2+1,FALSE),"")</f>
        <v/>
      </c>
      <c r="GM39" s="125" t="str">
        <f>IFERROR(VLOOKUP(GM38,教师安排!$A:$Y,GM$2+1,FALSE),"")</f>
        <v>康波</v>
      </c>
      <c r="GN39" s="125" t="str">
        <f>IFERROR(VLOOKUP(GN38,教师安排!$A:$Y,GN$2+1,FALSE),"")</f>
        <v>李会玲</v>
      </c>
      <c r="GO39" s="125" t="str">
        <f>IFERROR(VLOOKUP(GO38,教师安排!$A:$Y,GO$2+1,FALSE),"")</f>
        <v>李雯</v>
      </c>
      <c r="GP39" s="125" t="str">
        <f>IFERROR(VLOOKUP(GP38,教师安排!$A:$Y,GP$2+1,FALSE),"")</f>
        <v>史振塞</v>
      </c>
      <c r="GQ39" s="125" t="str">
        <f>IFERROR(VLOOKUP(GQ38,教师安排!$A:$Y,GQ$2+1,FALSE),"")</f>
        <v>王灼</v>
      </c>
      <c r="GR39" s="125" t="str">
        <f>IFERROR(VLOOKUP(GR38,教师安排!$A:$Y,GR$2+1,FALSE),"")</f>
        <v>李振铎</v>
      </c>
      <c r="GS39" s="125" t="str">
        <f>IFERROR(VLOOKUP(GS38,教师安排!$A:$Y,GS$2+1,FALSE),"")</f>
        <v>韩丽梅</v>
      </c>
      <c r="GT39" s="125" t="str">
        <f>IFERROR(VLOOKUP(GT38,教师安排!$A:$Y,GT$2+1,FALSE),"")</f>
        <v>宋平</v>
      </c>
      <c r="GU39" s="125" t="str">
        <f>IFERROR(VLOOKUP(GU38,教师安排!$A:$Y,GU$2+1,FALSE),"")</f>
        <v>张冰雪</v>
      </c>
      <c r="GV39" s="125" t="str">
        <f>IFERROR(VLOOKUP(GV38,教师安排!$A:$Y,GV$2+1,FALSE),"")</f>
        <v>董艳华</v>
      </c>
      <c r="GW39" s="125" t="str">
        <f>IFERROR(VLOOKUP(GW38,教师安排!$A:$Y,GW$2+1,FALSE),"")</f>
        <v>孙锦锦</v>
      </c>
      <c r="GX39" s="125">
        <f>IFERROR(VLOOKUP(GX38,教师安排!$A:$Y,GX$2+1,FALSE),"")</f>
        <v>0</v>
      </c>
      <c r="GY39" s="125" t="str">
        <f>IFERROR(VLOOKUP(GY38,教师安排!$A:$Y,GY$2+1,FALSE),"")</f>
        <v>王硕</v>
      </c>
      <c r="GZ39" s="125" t="str">
        <f>IFERROR(VLOOKUP(GZ38,教师安排!$A:$Y,GZ$2+1,FALSE),"")</f>
        <v>李浩然</v>
      </c>
      <c r="HA39" s="125" t="str">
        <f>IFERROR(VLOOKUP(HA38,教师安排!$A:$Y,HA$2+1,FALSE),"")</f>
        <v>路睿</v>
      </c>
      <c r="HB39" s="125" t="str">
        <f>IFERROR(VLOOKUP(HB38,教师安排!$A:$Y,HB$2+1,FALSE),"")</f>
        <v/>
      </c>
      <c r="HC39" s="125" t="str">
        <f>IFERROR(VLOOKUP(HC38,教师安排!$A:$Y,HC$2+1,FALSE),"")</f>
        <v/>
      </c>
      <c r="HD39" s="125" t="str">
        <f>IFERROR(VLOOKUP(HD38,教师安排!$A:$Y,HD$2+1,FALSE),"")</f>
        <v/>
      </c>
      <c r="HE39" s="125" t="str">
        <f>IFERROR(VLOOKUP(HE38,教师安排!$A:$Y,HE$2+1,FALSE),"")</f>
        <v/>
      </c>
      <c r="HF39" s="125"/>
      <c r="HG39" s="125" t="str">
        <f>IFERROR(VLOOKUP(HG38,教师安排!$A:$Y,HG$2+1,FALSE),"")</f>
        <v/>
      </c>
      <c r="HH39" s="125" t="str">
        <f>IFERROR(VLOOKUP(HH38,教师安排!$A:$Y,HH$2+1,FALSE),"")</f>
        <v/>
      </c>
      <c r="HI39" s="125" t="str">
        <f>IFERROR(VLOOKUP(HI38,教师安排!$A:$Y,HI$2+1,FALSE),"")</f>
        <v/>
      </c>
      <c r="HJ39" s="125" t="str">
        <f>IFERROR(VLOOKUP(HJ38,教师安排!$A:$Y,HJ$2+1,FALSE),"")</f>
        <v/>
      </c>
      <c r="HK39" s="126" t="str">
        <f>IFERROR(VLOOKUP(HK38,教师安排!$A:$Y,HK$2+1,FALSE),"")</f>
        <v>马崇庆</v>
      </c>
      <c r="HL39" s="126" t="str">
        <f>IFERROR(VLOOKUP(HL38,教师安排!$A:$Y,HL$2+1,FALSE),"")</f>
        <v>姚来朋</v>
      </c>
      <c r="HM39" s="126" t="str">
        <f>IFERROR(VLOOKUP(HM38,教师安排!$A:$Y,HM$2+1,FALSE),"")</f>
        <v>杨彬</v>
      </c>
      <c r="HN39" s="126" t="str">
        <f>IFERROR(VLOOKUP(HN38,教师安排!$A:$Y,HN$2+1,FALSE),"")</f>
        <v>刘珊珊</v>
      </c>
      <c r="HO39" s="126" t="str">
        <f>IFERROR(VLOOKUP(HO38,教师安排!$A:$Y,HO$2+1,FALSE),"")</f>
        <v>赵雪敏</v>
      </c>
      <c r="HP39" s="126" t="str">
        <f>IFERROR(VLOOKUP(HP38,教师安排!$A:$Y,HP$2+1,FALSE),"")</f>
        <v>王露</v>
      </c>
      <c r="HQ39" s="126" t="str">
        <f>IFERROR(VLOOKUP(HQ38,教师安排!$A:$Y,HQ$2+1,FALSE),"")</f>
        <v>王雪莲</v>
      </c>
      <c r="HR39" s="126" t="str">
        <f>IFERROR(VLOOKUP(HR38,教师安排!$A:$Y,HR$2+1,FALSE),"")</f>
        <v>宋开元</v>
      </c>
      <c r="HS39" s="126" t="str">
        <f>IFERROR(VLOOKUP(HS38,教师安排!$A:$Y,HS$2+1,FALSE),"")</f>
        <v>王硕</v>
      </c>
      <c r="HT39" s="126" t="str">
        <f>IFERROR(VLOOKUP(HT38,教师安排!$A:$Y,HT$2+1,FALSE),"")</f>
        <v>蒋心言</v>
      </c>
      <c r="HU39" s="126" t="str">
        <f>IFERROR(VLOOKUP(HU38,教师安排!$A:$Y,HU$2+1,FALSE),"")</f>
        <v>范林林</v>
      </c>
      <c r="HV39" s="126">
        <f>IFERROR(VLOOKUP(HV38,教师安排!$A:$Y,HV$2+1,FALSE),"")</f>
        <v>0</v>
      </c>
      <c r="HW39" s="126" t="str">
        <f>IFERROR(VLOOKUP(HW38,教师安排!$A:$Y,HW$2+1,FALSE),"")</f>
        <v>夏文杰</v>
      </c>
      <c r="HX39" s="126" t="str">
        <f>IFERROR(VLOOKUP(HX38,教师安排!$A:$Y,HX$2+1,FALSE),"")</f>
        <v>姜媛媛</v>
      </c>
      <c r="HY39" s="126" t="str">
        <f>IFERROR(VLOOKUP(HY38,教师安排!$A:$Y,HY$2+1,FALSE),"")</f>
        <v>高文凤</v>
      </c>
      <c r="HZ39" s="126" t="str">
        <f>IFERROR(VLOOKUP(HZ38,教师安排!$A:$Y,HZ$2+1,FALSE),"")</f>
        <v/>
      </c>
      <c r="IA39" s="126" t="str">
        <f>IFERROR(VLOOKUP(IA38,教师安排!$A:$Y,IA$2+1,FALSE),"")</f>
        <v/>
      </c>
      <c r="IB39" s="126" t="str">
        <f>IFERROR(VLOOKUP(IB38,教师安排!$A:$Y,IB$2+1,FALSE),"")</f>
        <v/>
      </c>
      <c r="IC39" s="126" t="str">
        <f>IFERROR(VLOOKUP(IC38,教师安排!$A:$Y,IC$2+1,FALSE),"")</f>
        <v/>
      </c>
      <c r="ID39" s="126"/>
      <c r="IE39" s="126" t="str">
        <f>IFERROR(VLOOKUP(IE38,教师安排!$A:$Y,IE$2+1,FALSE),"")</f>
        <v/>
      </c>
      <c r="IF39" s="126" t="str">
        <f>IFERROR(VLOOKUP(IF38,教师安排!$A:$Y,IF$2+1,FALSE),"")</f>
        <v/>
      </c>
      <c r="IG39" s="126" t="str">
        <f>IFERROR(VLOOKUP(IG38,教师安排!$A:$Y,IG$2+1,FALSE),"")</f>
        <v/>
      </c>
      <c r="IH39" s="126" t="str">
        <f>IFERROR(VLOOKUP(IH38,教师安排!$A:$Y,IH$2+1,FALSE),"")</f>
        <v/>
      </c>
      <c r="II39" s="125" t="str">
        <f>IFERROR(VLOOKUP(II38,教师安排!$A:$Y,II$2+1,FALSE),"")</f>
        <v>岳/厉</v>
      </c>
      <c r="IJ39" s="125" t="str">
        <f>IFERROR(VLOOKUP(IJ38,教师安排!$A:$Y,IJ$2+1,FALSE),"")</f>
        <v>田凤美</v>
      </c>
      <c r="IK39" s="125" t="str">
        <f>IFERROR(VLOOKUP(IK38,教师安排!$A:$Y,IK$2+1,FALSE),"")</f>
        <v>李雯</v>
      </c>
      <c r="IL39" s="125" t="str">
        <f>IFERROR(VLOOKUP(IL38,教师安排!$A:$Y,IL$2+1,FALSE),"")</f>
        <v>岳/厉</v>
      </c>
      <c r="IM39" s="125" t="str">
        <f>IFERROR(VLOOKUP(IM38,教师安排!$A:$Y,IM$2+1,FALSE),"")</f>
        <v>赵雪敏</v>
      </c>
      <c r="IN39" s="125" t="str">
        <f>IFERROR(VLOOKUP(IN38,教师安排!$A:$Y,IN$2+1,FALSE),"")</f>
        <v>翟淑玮</v>
      </c>
      <c r="IO39" s="125" t="str">
        <f>IFERROR(VLOOKUP(IO38,教师安排!$A:$Y,IO$2+1,FALSE),"")</f>
        <v>孙存义</v>
      </c>
      <c r="IP39" s="125" t="str">
        <f>IFERROR(VLOOKUP(IP38,教师安排!$A:$Y,IP$2+1,FALSE),"")</f>
        <v>路睿</v>
      </c>
      <c r="IQ39" s="125" t="str">
        <f>IFERROR(VLOOKUP(IQ38,教师安排!$A:$Y,IQ$2+1,FALSE),"")</f>
        <v>刘腾</v>
      </c>
      <c r="IR39" s="125" t="str">
        <f>IFERROR(VLOOKUP(IR38,教师安排!$A:$Y,IR$2+1,FALSE),"")</f>
        <v>胡存想</v>
      </c>
      <c r="IS39" s="125" t="str">
        <f>IFERROR(VLOOKUP(IS38,教师安排!$A:$Y,IS$2+1,FALSE),"")</f>
        <v>张雯皓</v>
      </c>
      <c r="IT39" s="125">
        <f>IFERROR(VLOOKUP(IT38,教师安排!$A:$Y,IT$2+1,FALSE),"")</f>
        <v>0</v>
      </c>
      <c r="IU39" s="125" t="str">
        <f>IFERROR(VLOOKUP(IU38,教师安排!$A:$Y,IU$2+1,FALSE),"")</f>
        <v>王菲</v>
      </c>
      <c r="IV39" s="125" t="str">
        <f>IFERROR(VLOOKUP(IV38,教师安排!$A:$Y,IV$2+1,FALSE),"")</f>
        <v>孙锦锦</v>
      </c>
      <c r="IW39" s="125" t="str">
        <f>IFERROR(VLOOKUP(IW38,教师安排!$A:$Y,IW$2+1,FALSE),"")</f>
        <v>高文凤</v>
      </c>
      <c r="IX39" s="125" t="str">
        <f>IFERROR(VLOOKUP(IX38,教师安排!$A:$Y,IX$2+1,FALSE),"")</f>
        <v>岳海霞</v>
      </c>
      <c r="IY39" s="125" t="str">
        <f>IFERROR(VLOOKUP(IY38,教师安排!$A:$Y,IY$2+1,FALSE),"")</f>
        <v/>
      </c>
      <c r="IZ39" s="125" t="str">
        <f>IFERROR(VLOOKUP(IZ38,教师安排!$A:$Y,IZ$2+1,FALSE),"")</f>
        <v>厉彦龙</v>
      </c>
      <c r="JA39" s="125" t="str">
        <f>IFERROR(VLOOKUP(JA38,教师安排!$A:$Y,JA$2+1,FALSE),"")</f>
        <v/>
      </c>
      <c r="JB39" s="125"/>
      <c r="JC39" s="125" t="str">
        <f>IFERROR(VLOOKUP(JC38,教师安排!$A:$Y,JC$2+1,FALSE),"")</f>
        <v/>
      </c>
      <c r="JD39" s="125" t="str">
        <f>IFERROR(VLOOKUP(JD38,教师安排!$A:$Y,JD$2+1,FALSE),"")</f>
        <v/>
      </c>
      <c r="JE39" s="125" t="str">
        <f>IFERROR(VLOOKUP(JE38,教师安排!$A:$Y,JE$2+1,FALSE),"")</f>
        <v/>
      </c>
      <c r="JF39" s="125" t="str">
        <f>IFERROR(VLOOKUP(JF38,教师安排!$A:$Y,JF$2+1,FALSE),"")</f>
        <v/>
      </c>
      <c r="JG39" s="126" t="str">
        <f>IFERROR(VLOOKUP(JG38,教师安排!$A:$Y,JG$2+1,FALSE),"")</f>
        <v>马崇庆</v>
      </c>
      <c r="JH39" s="126" t="str">
        <f>IFERROR(VLOOKUP(JH38,教师安排!$A:$Y,JH$2+1,FALSE),"")</f>
        <v>周兴玲</v>
      </c>
      <c r="JI39" s="126" t="str">
        <f>IFERROR(VLOOKUP(JI38,教师安排!$A:$Y,JI$2+1,FALSE),"")</f>
        <v>姚来朋</v>
      </c>
      <c r="JJ39" s="126" t="str">
        <f>IFERROR(VLOOKUP(JJ38,教师安排!$A:$Y,JJ$2+1,FALSE),"")</f>
        <v>李会玲</v>
      </c>
      <c r="JK39" s="126" t="str">
        <f>IFERROR(VLOOKUP(JK38,教师安排!$A:$Y,JK$2+1,FALSE),"")</f>
        <v>李振铎</v>
      </c>
      <c r="JL39" s="126" t="str">
        <f>IFERROR(VLOOKUP(JL38,教师安排!$A:$Y,JL$2+1,FALSE),"")</f>
        <v>蒋心言</v>
      </c>
      <c r="JM39" s="126" t="str">
        <f>IFERROR(VLOOKUP(JM38,教师安排!$A:$Y,JM$2+1,FALSE),"")</f>
        <v>孙存义</v>
      </c>
      <c r="JN39" s="126" t="str">
        <f>IFERROR(VLOOKUP(JN38,教师安排!$A:$Y,JN$2+1,FALSE),"")</f>
        <v>高文凤</v>
      </c>
      <c r="JO39" s="126" t="str">
        <f>IFERROR(VLOOKUP(JO38,教师安排!$A:$Y,JO$2+1,FALSE),"")</f>
        <v>田凤美</v>
      </c>
      <c r="JP39" s="126" t="str">
        <f>IFERROR(VLOOKUP(JP38,教师安排!$A:$Y,JP$2+1,FALSE),"")</f>
        <v>董艳华</v>
      </c>
      <c r="JQ39" s="126" t="str">
        <f>IFERROR(VLOOKUP(JQ38,教师安排!$A:$Y,JQ$2+1,FALSE),"")</f>
        <v>王/宋/翟/胡</v>
      </c>
      <c r="JR39" s="126">
        <f>IFERROR(VLOOKUP(JR38,教师安排!$A:$Y,JR$2+1,FALSE),"")</f>
        <v>0</v>
      </c>
      <c r="JS39" s="126" t="str">
        <f>IFERROR(VLOOKUP(JS38,教师安排!$A:$Y,JS$2+1,FALSE),"")</f>
        <v>宋/韩/王</v>
      </c>
      <c r="JT39" s="126" t="str">
        <f>IFERROR(VLOOKUP(JT38,教师安排!$A:$Y,JT$2+1,FALSE),"")</f>
        <v>翟/韩/王</v>
      </c>
      <c r="JU39" s="126" t="str">
        <f>IFERROR(VLOOKUP(JU38,教师安排!$A:$Y,JU$2+1,FALSE),"")</f>
        <v>胡/韩/王</v>
      </c>
      <c r="JV39" s="126" t="str">
        <f>IFERROR(VLOOKUP(JV38,教师安排!$A:$Y,JV$2+1,FALSE),"")</f>
        <v/>
      </c>
      <c r="JW39" s="126" t="str">
        <f>IFERROR(VLOOKUP(JW38,教师安排!$A:$Y,JW$2+1,FALSE),"")</f>
        <v/>
      </c>
      <c r="JX39" s="126" t="str">
        <f>IFERROR(VLOOKUP(JX38,教师安排!$A:$Y,JX$2+1,FALSE),"")</f>
        <v/>
      </c>
      <c r="JY39" s="126" t="str">
        <f>IFERROR(VLOOKUP(JY38,教师安排!$A:$Y,JY$2+1,FALSE),"")</f>
        <v/>
      </c>
      <c r="JZ39" s="126" t="str">
        <f>IFERROR(VLOOKUP(JZ38,教师安排!$A:$Y,JZ$2+1,FALSE),"")</f>
        <v>王灼</v>
      </c>
      <c r="KA39" s="126" t="str">
        <f>IFERROR(VLOOKUP(KA38,教师安排!$A:$Y,KA$2+1,FALSE),"")</f>
        <v>韩丽梅</v>
      </c>
      <c r="KB39" s="126" t="str">
        <f>IFERROR(VLOOKUP(KB38,教师安排!$A:$Y,KB$2+1,FALSE),"")</f>
        <v>宋平</v>
      </c>
      <c r="KC39" s="126" t="str">
        <f>IFERROR(VLOOKUP(KC38,教师安排!$A:$Y,KC$2+1,FALSE),"")</f>
        <v>翟淑玮</v>
      </c>
      <c r="KD39" s="126" t="str">
        <f>IFERROR(VLOOKUP(KD38,教师安排!$A:$Y,KD$2+1,FALSE),"")</f>
        <v>胡存想</v>
      </c>
    </row>
    <row r="40" spans="1:290" ht="18" customHeight="1" x14ac:dyDescent="0.3">
      <c r="A40" s="146"/>
      <c r="B40" s="148" t="s">
        <v>169</v>
      </c>
      <c r="C40" s="121" t="s">
        <v>98</v>
      </c>
      <c r="D40" s="121" t="s">
        <v>96</v>
      </c>
      <c r="E40" s="121" t="s">
        <v>101</v>
      </c>
      <c r="F40" s="121" t="s">
        <v>98</v>
      </c>
      <c r="G40" s="121" t="s">
        <v>98</v>
      </c>
      <c r="H40" s="121" t="s">
        <v>97</v>
      </c>
      <c r="I40" s="121" t="s">
        <v>97</v>
      </c>
      <c r="J40" s="121" t="s">
        <v>104</v>
      </c>
      <c r="K40" s="121" t="s">
        <v>102</v>
      </c>
      <c r="L40" s="121" t="s">
        <v>97</v>
      </c>
      <c r="M40" s="121" t="s">
        <v>127</v>
      </c>
      <c r="N40" s="121" t="s">
        <v>135</v>
      </c>
      <c r="O40" s="121" t="s">
        <v>96</v>
      </c>
      <c r="P40" s="121" t="s">
        <v>96</v>
      </c>
      <c r="Q40" s="121" t="s">
        <v>102</v>
      </c>
      <c r="R40" s="121" t="s">
        <v>145</v>
      </c>
      <c r="S40" s="121"/>
      <c r="T40" s="121" t="s">
        <v>146</v>
      </c>
      <c r="U40" s="121"/>
      <c r="V40" s="121"/>
      <c r="W40" s="121"/>
      <c r="X40" s="121"/>
      <c r="Y40" s="121"/>
      <c r="Z40" s="121"/>
      <c r="AA40" s="122" t="s">
        <v>99</v>
      </c>
      <c r="AB40" s="122" t="s">
        <v>126</v>
      </c>
      <c r="AC40" s="122" t="s">
        <v>121</v>
      </c>
      <c r="AD40" s="122" t="s">
        <v>124</v>
      </c>
      <c r="AE40" s="122" t="s">
        <v>97</v>
      </c>
      <c r="AF40" s="122" t="s">
        <v>100</v>
      </c>
      <c r="AG40" s="122" t="s">
        <v>99</v>
      </c>
      <c r="AH40" s="122" t="s">
        <v>96</v>
      </c>
      <c r="AI40" s="122" t="s">
        <v>104</v>
      </c>
      <c r="AJ40" s="122" t="s">
        <v>104</v>
      </c>
      <c r="AK40" s="122" t="s">
        <v>98</v>
      </c>
      <c r="AL40" s="122" t="s">
        <v>135</v>
      </c>
      <c r="AM40" s="122" t="s">
        <v>98</v>
      </c>
      <c r="AN40" s="122" t="s">
        <v>98</v>
      </c>
      <c r="AO40" s="122" t="s">
        <v>98</v>
      </c>
      <c r="AP40" s="122"/>
      <c r="AQ40" s="122"/>
      <c r="AR40" s="122"/>
      <c r="AS40" s="122"/>
      <c r="AT40" s="122" t="s">
        <v>146</v>
      </c>
      <c r="AU40" s="122" t="s">
        <v>146</v>
      </c>
      <c r="AV40" s="122" t="s">
        <v>145</v>
      </c>
      <c r="AW40" s="122" t="s">
        <v>145</v>
      </c>
      <c r="AX40" s="122" t="s">
        <v>145</v>
      </c>
      <c r="AY40" s="121" t="s">
        <v>118</v>
      </c>
      <c r="AZ40" s="121" t="s">
        <v>122</v>
      </c>
      <c r="BA40" s="121" t="s">
        <v>97</v>
      </c>
      <c r="BB40" s="121" t="s">
        <v>96</v>
      </c>
      <c r="BC40" s="121" t="s">
        <v>127</v>
      </c>
      <c r="BD40" s="121" t="s">
        <v>96</v>
      </c>
      <c r="BE40" s="121" t="s">
        <v>122</v>
      </c>
      <c r="BF40" s="121" t="s">
        <v>119</v>
      </c>
      <c r="BG40" s="121" t="s">
        <v>119</v>
      </c>
      <c r="BH40" s="121" t="s">
        <v>101</v>
      </c>
      <c r="BI40" s="121" t="s">
        <v>97</v>
      </c>
      <c r="BJ40" s="121" t="s">
        <v>135</v>
      </c>
      <c r="BK40" s="121" t="s">
        <v>102</v>
      </c>
      <c r="BL40" s="121" t="s">
        <v>97</v>
      </c>
      <c r="BM40" s="121" t="s">
        <v>126</v>
      </c>
      <c r="BN40" s="121"/>
      <c r="BO40" s="121"/>
      <c r="BP40" s="121"/>
      <c r="BQ40" s="121"/>
      <c r="BR40" s="121"/>
      <c r="BS40" s="121"/>
      <c r="BT40" s="121"/>
      <c r="BU40" s="121"/>
      <c r="BV40" s="121"/>
      <c r="BW40" s="122" t="s">
        <v>102</v>
      </c>
      <c r="BX40" s="122" t="s">
        <v>124</v>
      </c>
      <c r="BY40" s="122" t="s">
        <v>104</v>
      </c>
      <c r="BZ40" s="122" t="s">
        <v>97</v>
      </c>
      <c r="CA40" s="122" t="s">
        <v>101</v>
      </c>
      <c r="CB40" s="122" t="s">
        <v>121</v>
      </c>
      <c r="CC40" s="122" t="s">
        <v>98</v>
      </c>
      <c r="CD40" s="122" t="s">
        <v>97</v>
      </c>
      <c r="CE40" s="122" t="s">
        <v>98</v>
      </c>
      <c r="CF40" s="122" t="s">
        <v>96</v>
      </c>
      <c r="CG40" s="122" t="s">
        <v>126</v>
      </c>
      <c r="CH40" s="122" t="s">
        <v>135</v>
      </c>
      <c r="CI40" s="122" t="s">
        <v>104</v>
      </c>
      <c r="CJ40" s="122" t="s">
        <v>103</v>
      </c>
      <c r="CK40" s="122" t="s">
        <v>118</v>
      </c>
      <c r="CL40" s="122"/>
      <c r="CM40" s="122"/>
      <c r="CN40" s="122"/>
      <c r="CO40" s="122"/>
      <c r="CP40" s="122"/>
      <c r="CQ40" s="122"/>
      <c r="CR40" s="122"/>
      <c r="CS40" s="122"/>
      <c r="CT40" s="122"/>
      <c r="CU40" s="121" t="s">
        <v>126</v>
      </c>
      <c r="CV40" s="121" t="s">
        <v>121</v>
      </c>
      <c r="CW40" s="121" t="s">
        <v>96</v>
      </c>
      <c r="CX40" s="121" t="s">
        <v>123</v>
      </c>
      <c r="CY40" s="121" t="s">
        <v>96</v>
      </c>
      <c r="CZ40" s="121" t="s">
        <v>123</v>
      </c>
      <c r="DA40" s="121" t="s">
        <v>99</v>
      </c>
      <c r="DB40" s="121" t="s">
        <v>97</v>
      </c>
      <c r="DC40" s="121" t="s">
        <v>102</v>
      </c>
      <c r="DD40" s="121" t="s">
        <v>102</v>
      </c>
      <c r="DE40" s="121" t="s">
        <v>98</v>
      </c>
      <c r="DF40" s="121" t="s">
        <v>135</v>
      </c>
      <c r="DG40" s="121" t="s">
        <v>98</v>
      </c>
      <c r="DH40" s="121" t="s">
        <v>98</v>
      </c>
      <c r="DI40" s="121" t="s">
        <v>98</v>
      </c>
      <c r="DJ40" s="121"/>
      <c r="DK40" s="121"/>
      <c r="DL40" s="121"/>
      <c r="DM40" s="121"/>
      <c r="DN40" s="121" t="s">
        <v>146</v>
      </c>
      <c r="DO40" s="121" t="s">
        <v>146</v>
      </c>
      <c r="DP40" s="121" t="s">
        <v>145</v>
      </c>
      <c r="DQ40" s="121" t="s">
        <v>145</v>
      </c>
      <c r="DR40" s="121" t="s">
        <v>145</v>
      </c>
      <c r="DS40" s="122" t="s">
        <v>100</v>
      </c>
      <c r="DT40" s="122" t="s">
        <v>104</v>
      </c>
      <c r="DU40" s="122" t="s">
        <v>97</v>
      </c>
      <c r="DV40" s="122" t="s">
        <v>97</v>
      </c>
      <c r="DW40" s="122" t="s">
        <v>97</v>
      </c>
      <c r="DX40" s="122" t="s">
        <v>98</v>
      </c>
      <c r="DY40" s="122" t="s">
        <v>96</v>
      </c>
      <c r="DZ40" s="122" t="s">
        <v>98</v>
      </c>
      <c r="EA40" s="122" t="s">
        <v>96</v>
      </c>
      <c r="EB40" s="122" t="s">
        <v>98</v>
      </c>
      <c r="EC40" s="122" t="s">
        <v>103</v>
      </c>
      <c r="ED40" s="122" t="s">
        <v>135</v>
      </c>
      <c r="EE40" s="122" t="s">
        <v>97</v>
      </c>
      <c r="EF40" s="122" t="s">
        <v>97</v>
      </c>
      <c r="EG40" s="122" t="s">
        <v>97</v>
      </c>
      <c r="EH40" s="122"/>
      <c r="EI40" s="122"/>
      <c r="EJ40" s="122"/>
      <c r="EK40" s="122"/>
      <c r="EL40" s="122"/>
      <c r="EM40" s="122"/>
      <c r="EN40" s="122"/>
      <c r="EO40" s="122"/>
      <c r="EP40" s="122"/>
      <c r="EQ40" s="121" t="s">
        <v>96</v>
      </c>
      <c r="ER40" s="121" t="s">
        <v>98</v>
      </c>
      <c r="ES40" s="121" t="s">
        <v>98</v>
      </c>
      <c r="ET40" s="121" t="s">
        <v>99</v>
      </c>
      <c r="EU40" s="121" t="s">
        <v>99</v>
      </c>
      <c r="EV40" s="121" t="s">
        <v>100</v>
      </c>
      <c r="EW40" s="121" t="s">
        <v>97</v>
      </c>
      <c r="EX40" s="121" t="s">
        <v>96</v>
      </c>
      <c r="EY40" s="121" t="s">
        <v>102</v>
      </c>
      <c r="EZ40" s="121" t="s">
        <v>96</v>
      </c>
      <c r="FA40" s="121" t="s">
        <v>104</v>
      </c>
      <c r="FB40" s="121" t="s">
        <v>135</v>
      </c>
      <c r="FC40" s="121" t="s">
        <v>103</v>
      </c>
      <c r="FD40" s="121" t="s">
        <v>102</v>
      </c>
      <c r="FE40" s="121" t="s">
        <v>103</v>
      </c>
      <c r="FF40" s="121"/>
      <c r="FG40" s="121" t="s">
        <v>145</v>
      </c>
      <c r="FH40" s="121"/>
      <c r="FI40" s="121" t="s">
        <v>146</v>
      </c>
      <c r="FJ40" s="121"/>
      <c r="FK40" s="121"/>
      <c r="FL40" s="121"/>
      <c r="FM40" s="121"/>
      <c r="FN40" s="121"/>
      <c r="FO40" s="122" t="s">
        <v>98</v>
      </c>
      <c r="FP40" s="122" t="s">
        <v>96</v>
      </c>
      <c r="FQ40" s="122" t="s">
        <v>101</v>
      </c>
      <c r="FR40" s="122" t="s">
        <v>98</v>
      </c>
      <c r="FS40" s="122" t="s">
        <v>98</v>
      </c>
      <c r="FT40" s="122" t="s">
        <v>96</v>
      </c>
      <c r="FU40" s="122" t="s">
        <v>97</v>
      </c>
      <c r="FV40" s="122" t="s">
        <v>104</v>
      </c>
      <c r="FW40" s="122" t="s">
        <v>102</v>
      </c>
      <c r="FX40" s="122" t="s">
        <v>97</v>
      </c>
      <c r="FY40" s="122" t="s">
        <v>127</v>
      </c>
      <c r="FZ40" s="122" t="s">
        <v>135</v>
      </c>
      <c r="GA40" s="122" t="s">
        <v>96</v>
      </c>
      <c r="GB40" s="122" t="s">
        <v>97</v>
      </c>
      <c r="GC40" s="122" t="s">
        <v>102</v>
      </c>
      <c r="GD40" s="122" t="s">
        <v>145</v>
      </c>
      <c r="GE40" s="122"/>
      <c r="GF40" s="122" t="s">
        <v>146</v>
      </c>
      <c r="GG40" s="122"/>
      <c r="GH40" s="122"/>
      <c r="GI40" s="122"/>
      <c r="GJ40" s="122"/>
      <c r="GK40" s="122"/>
      <c r="GL40" s="122"/>
      <c r="GM40" s="121" t="s">
        <v>104</v>
      </c>
      <c r="GN40" s="121" t="s">
        <v>97</v>
      </c>
      <c r="GO40" s="121" t="s">
        <v>121</v>
      </c>
      <c r="GP40" s="121" t="s">
        <v>121</v>
      </c>
      <c r="GQ40" s="121" t="s">
        <v>97</v>
      </c>
      <c r="GR40" s="121" t="s">
        <v>100</v>
      </c>
      <c r="GS40" s="121" t="s">
        <v>99</v>
      </c>
      <c r="GT40" s="121" t="s">
        <v>96</v>
      </c>
      <c r="GU40" s="121" t="s">
        <v>104</v>
      </c>
      <c r="GV40" s="121" t="s">
        <v>104</v>
      </c>
      <c r="GW40" s="121" t="s">
        <v>98</v>
      </c>
      <c r="GX40" s="121" t="s">
        <v>135</v>
      </c>
      <c r="GY40" s="121" t="s">
        <v>98</v>
      </c>
      <c r="GZ40" s="121" t="s">
        <v>98</v>
      </c>
      <c r="HA40" s="121" t="s">
        <v>98</v>
      </c>
      <c r="HB40" s="121"/>
      <c r="HC40" s="121"/>
      <c r="HD40" s="121"/>
      <c r="HE40" s="121"/>
      <c r="HF40" s="121" t="s">
        <v>146</v>
      </c>
      <c r="HG40" s="121" t="s">
        <v>146</v>
      </c>
      <c r="HH40" s="121" t="s">
        <v>145</v>
      </c>
      <c r="HI40" s="121" t="s">
        <v>145</v>
      </c>
      <c r="HJ40" s="121" t="s">
        <v>145</v>
      </c>
      <c r="HK40" s="122" t="s">
        <v>118</v>
      </c>
      <c r="HL40" s="122" t="s">
        <v>122</v>
      </c>
      <c r="HM40" s="122" t="s">
        <v>97</v>
      </c>
      <c r="HN40" s="122" t="s">
        <v>96</v>
      </c>
      <c r="HO40" s="122" t="s">
        <v>118</v>
      </c>
      <c r="HP40" s="122" t="s">
        <v>119</v>
      </c>
      <c r="HQ40" s="122" t="s">
        <v>122</v>
      </c>
      <c r="HR40" s="122" t="s">
        <v>119</v>
      </c>
      <c r="HS40" s="122" t="s">
        <v>126</v>
      </c>
      <c r="HT40" s="122" t="s">
        <v>101</v>
      </c>
      <c r="HU40" s="122" t="s">
        <v>97</v>
      </c>
      <c r="HV40" s="122" t="s">
        <v>135</v>
      </c>
      <c r="HW40" s="122" t="s">
        <v>102</v>
      </c>
      <c r="HX40" s="122" t="s">
        <v>96</v>
      </c>
      <c r="HY40" s="122" t="s">
        <v>103</v>
      </c>
      <c r="HZ40" s="122"/>
      <c r="IA40" s="122"/>
      <c r="IB40" s="122"/>
      <c r="IC40" s="122"/>
      <c r="ID40" s="122"/>
      <c r="IE40" s="122"/>
      <c r="IF40" s="122"/>
      <c r="IG40" s="122"/>
      <c r="IH40" s="122"/>
      <c r="II40" s="121" t="s">
        <v>102</v>
      </c>
      <c r="IJ40" s="121" t="s">
        <v>121</v>
      </c>
      <c r="IK40" s="121" t="s">
        <v>104</v>
      </c>
      <c r="IL40" s="121" t="s">
        <v>97</v>
      </c>
      <c r="IM40" s="121" t="s">
        <v>101</v>
      </c>
      <c r="IN40" s="121" t="s">
        <v>121</v>
      </c>
      <c r="IO40" s="121" t="s">
        <v>118</v>
      </c>
      <c r="IP40" s="121" t="s">
        <v>97</v>
      </c>
      <c r="IQ40" s="121" t="s">
        <v>120</v>
      </c>
      <c r="IR40" s="121" t="s">
        <v>96</v>
      </c>
      <c r="IS40" s="121" t="s">
        <v>126</v>
      </c>
      <c r="IT40" s="121" t="s">
        <v>135</v>
      </c>
      <c r="IU40" s="121" t="s">
        <v>104</v>
      </c>
      <c r="IV40" s="121" t="s">
        <v>103</v>
      </c>
      <c r="IW40" s="121" t="s">
        <v>118</v>
      </c>
      <c r="IX40" s="121"/>
      <c r="IY40" s="121"/>
      <c r="IZ40" s="121"/>
      <c r="JA40" s="121"/>
      <c r="JB40" s="121"/>
      <c r="JC40" s="121"/>
      <c r="JD40" s="121"/>
      <c r="JE40" s="121"/>
      <c r="JF40" s="121"/>
      <c r="JG40" s="122" t="s">
        <v>126</v>
      </c>
      <c r="JH40" s="122" t="s">
        <v>124</v>
      </c>
      <c r="JI40" s="122" t="s">
        <v>96</v>
      </c>
      <c r="JJ40" s="122" t="s">
        <v>123</v>
      </c>
      <c r="JK40" s="122" t="s">
        <v>96</v>
      </c>
      <c r="JL40" s="122" t="s">
        <v>99</v>
      </c>
      <c r="JM40" s="122" t="s">
        <v>97</v>
      </c>
      <c r="JN40" s="122" t="s">
        <v>97</v>
      </c>
      <c r="JO40" s="122" t="s">
        <v>101</v>
      </c>
      <c r="JP40" s="122" t="s">
        <v>101</v>
      </c>
      <c r="JQ40" s="122" t="s">
        <v>98</v>
      </c>
      <c r="JR40" s="122" t="s">
        <v>135</v>
      </c>
      <c r="JS40" s="122" t="s">
        <v>98</v>
      </c>
      <c r="JT40" s="122" t="s">
        <v>98</v>
      </c>
      <c r="JU40" s="122" t="s">
        <v>98</v>
      </c>
      <c r="JV40" s="122"/>
      <c r="JW40" s="122"/>
      <c r="JX40" s="122"/>
      <c r="JY40" s="122"/>
      <c r="JZ40" s="122" t="s">
        <v>146</v>
      </c>
      <c r="KA40" s="122" t="s">
        <v>146</v>
      </c>
      <c r="KB40" s="122" t="s">
        <v>145</v>
      </c>
      <c r="KC40" s="122" t="s">
        <v>145</v>
      </c>
      <c r="KD40" s="122" t="s">
        <v>145</v>
      </c>
    </row>
    <row r="41" spans="1:290" ht="18" customHeight="1" x14ac:dyDescent="0.4">
      <c r="A41" s="146"/>
      <c r="B41" s="148"/>
      <c r="C41" s="125" t="str">
        <f>IFERROR(VLOOKUP(C40,教师安排!$A:$Y,C$2+1,FALSE),"")</f>
        <v>岳/厉</v>
      </c>
      <c r="D41" s="125" t="str">
        <f>IFERROR(VLOOKUP(D40,教师安排!$A:$Y,D$2+1,FALSE),"")</f>
        <v>史振塞</v>
      </c>
      <c r="E41" s="125" t="str">
        <f>IFERROR(VLOOKUP(E40,教师安排!$A:$Y,E$2+1,FALSE),"")</f>
        <v>周兴玲</v>
      </c>
      <c r="F41" s="125" t="str">
        <f>IFERROR(VLOOKUP(F40,教师安排!$A:$Y,F$2+1,FALSE),"")</f>
        <v>岳/厉</v>
      </c>
      <c r="G41" s="125" t="str">
        <f>IFERROR(VLOOKUP(G40,教师安排!$A:$Y,G$2+1,FALSE),"")</f>
        <v>王灼</v>
      </c>
      <c r="H41" s="125" t="str">
        <f>IFERROR(VLOOKUP(H40,教师安排!$A:$Y,H$2+1,FALSE),"")</f>
        <v>王露</v>
      </c>
      <c r="I41" s="125" t="str">
        <f>IFERROR(VLOOKUP(I40,教师安排!$A:$Y,I$2+1,FALSE),"")</f>
        <v>范林林</v>
      </c>
      <c r="J41" s="125" t="str">
        <f>IFERROR(VLOOKUP(J40,教师安排!$A:$Y,J$2+1,FALSE),"")</f>
        <v>孙秋杰</v>
      </c>
      <c r="K41" s="125" t="str">
        <f>IFERROR(VLOOKUP(K40,教师安排!$A:$Y,K$2+1,FALSE),"")</f>
        <v>田凤美</v>
      </c>
      <c r="L41" s="125" t="str">
        <f>IFERROR(VLOOKUP(L40,教师安排!$A:$Y,L$2+1,FALSE),"")</f>
        <v>孙娜</v>
      </c>
      <c r="M41" s="125" t="str">
        <f>IFERROR(VLOOKUP(M40,教师安排!$A:$Y,M$2+1,FALSE),"")</f>
        <v>路睿</v>
      </c>
      <c r="N41" s="125">
        <f>IFERROR(VLOOKUP(N40,教师安排!$A:$Y,N$2+1,FALSE),"")</f>
        <v>0</v>
      </c>
      <c r="O41" s="125" t="str">
        <f>IFERROR(VLOOKUP(O40,教师安排!$A:$Y,O$2+1,FALSE),"")</f>
        <v>王菲</v>
      </c>
      <c r="P41" s="125" t="str">
        <f>IFERROR(VLOOKUP(P40,教师安排!$A:$Y,P$2+1,FALSE),"")</f>
        <v>姜媛媛</v>
      </c>
      <c r="Q41" s="125" t="str">
        <f>IFERROR(VLOOKUP(Q40,教师安排!$A:$Y,Q$2+1,FALSE),"")</f>
        <v>夏文杰</v>
      </c>
      <c r="R41" s="125" t="str">
        <f>IFERROR(VLOOKUP(R40,教师安排!$A:$Y,R$2+1,FALSE),"")</f>
        <v>岳海霞</v>
      </c>
      <c r="S41" s="125" t="str">
        <f>IFERROR(VLOOKUP(S40,教师安排!$A:$Y,S$2+1,FALSE),"")</f>
        <v/>
      </c>
      <c r="T41" s="125" t="str">
        <f>IFERROR(VLOOKUP(T40,教师安排!$A:$Y,T$2+1,FALSE),"")</f>
        <v>厉彦龙</v>
      </c>
      <c r="U41" s="125" t="str">
        <f>IFERROR(VLOOKUP(U40,教师安排!$A:$Y,U$2+1,FALSE),"")</f>
        <v/>
      </c>
      <c r="V41" s="125"/>
      <c r="W41" s="125" t="str">
        <f>IFERROR(VLOOKUP(W40,教师安排!$A:$Y,W$2+1,FALSE),"")</f>
        <v/>
      </c>
      <c r="X41" s="125" t="str">
        <f>IFERROR(VLOOKUP(X40,教师安排!$A:$Y,X$2+1,FALSE),"")</f>
        <v/>
      </c>
      <c r="Y41" s="125" t="str">
        <f>IFERROR(VLOOKUP(Y40,教师安排!$A:$Y,Y$2+1,FALSE),"")</f>
        <v/>
      </c>
      <c r="Z41" s="125" t="str">
        <f>IFERROR(VLOOKUP(Z40,教师安排!$A:$Y,Z$2+1,FALSE),"")</f>
        <v/>
      </c>
      <c r="AA41" s="126" t="str">
        <f>IFERROR(VLOOKUP(AA40,教师安排!$A:$Y,AA$2+1,FALSE),"")</f>
        <v>康波</v>
      </c>
      <c r="AB41" s="126" t="str">
        <f>IFERROR(VLOOKUP(AB40,教师安排!$A:$Y,AB$2+1,FALSE),"")</f>
        <v>李会玲</v>
      </c>
      <c r="AC41" s="126" t="str">
        <f>IFERROR(VLOOKUP(AC40,教师安排!$A:$Y,AC$2+1,FALSE),"")</f>
        <v>张雨晴</v>
      </c>
      <c r="AD41" s="126" t="str">
        <f>IFERROR(VLOOKUP(AD40,教师安排!$A:$Y,AD$2+1,FALSE),"")</f>
        <v>李雯</v>
      </c>
      <c r="AE41" s="126" t="str">
        <f>IFERROR(VLOOKUP(AE40,教师安排!$A:$Y,AE$2+1,FALSE),"")</f>
        <v>赵雪敏</v>
      </c>
      <c r="AF41" s="126" t="str">
        <f>IFERROR(VLOOKUP(AF40,教师安排!$A:$Y,AF$2+1,FALSE),"")</f>
        <v>李振铎</v>
      </c>
      <c r="AG41" s="126" t="str">
        <f>IFERROR(VLOOKUP(AG40,教师安排!$A:$Y,AG$2+1,FALSE),"")</f>
        <v>孙存义</v>
      </c>
      <c r="AH41" s="126" t="str">
        <f>IFERROR(VLOOKUP(AH40,教师安排!$A:$Y,AH$2+1,FALSE),"")</f>
        <v>路睿</v>
      </c>
      <c r="AI41" s="126" t="str">
        <f>IFERROR(VLOOKUP(AI40,教师安排!$A:$Y,AI$2+1,FALSE),"")</f>
        <v>王硕</v>
      </c>
      <c r="AJ41" s="126" t="str">
        <f>IFERROR(VLOOKUP(AJ40,教师安排!$A:$Y,AJ$2+1,FALSE),"")</f>
        <v>孙秋杰</v>
      </c>
      <c r="AK41" s="126" t="str">
        <f>IFERROR(VLOOKUP(AK40,教师安排!$A:$Y,AK$2+1,FALSE),"")</f>
        <v>王/宋/翟/胡</v>
      </c>
      <c r="AL41" s="126">
        <f>IFERROR(VLOOKUP(AL40,教师安排!$A:$Y,AL$2+1,FALSE),"")</f>
        <v>0</v>
      </c>
      <c r="AM41" s="126" t="str">
        <f>IFERROR(VLOOKUP(AM40,教师安排!$A:$Y,AM$2+1,FALSE),"")</f>
        <v>宋/韩/王</v>
      </c>
      <c r="AN41" s="126" t="str">
        <f>IFERROR(VLOOKUP(AN40,教师安排!$A:$Y,AN$2+1,FALSE),"")</f>
        <v>翟/韩/王</v>
      </c>
      <c r="AO41" s="126" t="str">
        <f>IFERROR(VLOOKUP(AO40,教师安排!$A:$Y,AO$2+1,FALSE),"")</f>
        <v>胡/韩/王</v>
      </c>
      <c r="AP41" s="126" t="str">
        <f>IFERROR(VLOOKUP(AP40,教师安排!$A:$Y,AP$2+1,FALSE),"")</f>
        <v/>
      </c>
      <c r="AQ41" s="126" t="str">
        <f>IFERROR(VLOOKUP(AQ40,教师安排!$A:$Y,AQ$2+1,FALSE),"")</f>
        <v/>
      </c>
      <c r="AR41" s="126" t="str">
        <f>IFERROR(VLOOKUP(AR40,教师安排!$A:$Y,AR$2+1,FALSE),"")</f>
        <v/>
      </c>
      <c r="AS41" s="126" t="str">
        <f>IFERROR(VLOOKUP(AS40,教师安排!$A:$Y,AS$2+1,FALSE),"")</f>
        <v/>
      </c>
      <c r="AT41" s="126" t="str">
        <f>IFERROR(VLOOKUP(AT40,教师安排!$A:$Y,AT$2+1,FALSE),"")</f>
        <v>王灼</v>
      </c>
      <c r="AU41" s="126" t="str">
        <f>IFERROR(VLOOKUP(AU40,教师安排!$A:$Y,AU$2+1,FALSE),"")</f>
        <v>韩丽梅</v>
      </c>
      <c r="AV41" s="126" t="str">
        <f>IFERROR(VLOOKUP(AV40,教师安排!$A:$Y,AV$2+1,FALSE),"")</f>
        <v>宋平</v>
      </c>
      <c r="AW41" s="126" t="str">
        <f>IFERROR(VLOOKUP(AW40,教师安排!$A:$Y,AW$2+1,FALSE),"")</f>
        <v>翟淑玮</v>
      </c>
      <c r="AX41" s="126" t="str">
        <f>IFERROR(VLOOKUP(AX40,教师安排!$A:$Y,AX$2+1,FALSE),"")</f>
        <v>胡存想</v>
      </c>
      <c r="AY41" s="125" t="str">
        <f>IFERROR(VLOOKUP(AY40,教师安排!$A:$Y,AY$2+1,FALSE),"")</f>
        <v>杨彬</v>
      </c>
      <c r="AZ41" s="125" t="str">
        <f>IFERROR(VLOOKUP(AZ40,教师安排!$A:$Y,AZ$2+1,FALSE),"")</f>
        <v>宋开元</v>
      </c>
      <c r="BA41" s="125" t="str">
        <f>IFERROR(VLOOKUP(BA40,教师安排!$A:$Y,BA$2+1,FALSE),"")</f>
        <v>姚来朋</v>
      </c>
      <c r="BB41" s="125" t="str">
        <f>IFERROR(VLOOKUP(BB40,教师安排!$A:$Y,BB$2+1,FALSE),"")</f>
        <v>史振塞</v>
      </c>
      <c r="BC41" s="125" t="str">
        <f>IFERROR(VLOOKUP(BC40,教师安排!$A:$Y,BC$2+1,FALSE),"")</f>
        <v>张冰雪</v>
      </c>
      <c r="BD41" s="125" t="str">
        <f>IFERROR(VLOOKUP(BD40,教师安排!$A:$Y,BD$2+1,FALSE),"")</f>
        <v>姜媛媛</v>
      </c>
      <c r="BE41" s="125" t="str">
        <f>IFERROR(VLOOKUP(BE40,教师安排!$A:$Y,BE$2+1,FALSE),"")</f>
        <v>马崇庆</v>
      </c>
      <c r="BF41" s="125" t="str">
        <f>IFERROR(VLOOKUP(BF40,教师安排!$A:$Y,BF$2+1,FALSE),"")</f>
        <v>高文凤</v>
      </c>
      <c r="BG41" s="125" t="str">
        <f>IFERROR(VLOOKUP(BG40,教师安排!$A:$Y,BG$2+1,FALSE),"")</f>
        <v>赵雪敏</v>
      </c>
      <c r="BH41" s="125" t="str">
        <f>IFERROR(VLOOKUP(BH40,教师安排!$A:$Y,BH$2+1,FALSE),"")</f>
        <v>蒋心言</v>
      </c>
      <c r="BI41" s="125" t="str">
        <f>IFERROR(VLOOKUP(BI40,教师安排!$A:$Y,BI$2+1,FALSE),"")</f>
        <v>范林林</v>
      </c>
      <c r="BJ41" s="125">
        <f>IFERROR(VLOOKUP(BJ40,教师安排!$A:$Y,BJ$2+1,FALSE),"")</f>
        <v>0</v>
      </c>
      <c r="BK41" s="125" t="str">
        <f>IFERROR(VLOOKUP(BK40,教师安排!$A:$Y,BK$2+1,FALSE),"")</f>
        <v>夏文杰</v>
      </c>
      <c r="BL41" s="125" t="str">
        <f>IFERROR(VLOOKUP(BL40,教师安排!$A:$Y,BL$2+1,FALSE),"")</f>
        <v>王露</v>
      </c>
      <c r="BM41" s="125" t="str">
        <f>IFERROR(VLOOKUP(BM40,教师安排!$A:$Y,BM$2+1,FALSE),"")</f>
        <v>孙秋杰</v>
      </c>
      <c r="BN41" s="125" t="str">
        <f>IFERROR(VLOOKUP(BN40,教师安排!$A:$Y,BN$2+1,FALSE),"")</f>
        <v/>
      </c>
      <c r="BO41" s="125" t="str">
        <f>IFERROR(VLOOKUP(BO40,教师安排!$A:$Y,BO$2+1,FALSE),"")</f>
        <v/>
      </c>
      <c r="BP41" s="125" t="str">
        <f>IFERROR(VLOOKUP(BP40,教师安排!$A:$Y,BP$2+1,FALSE),"")</f>
        <v/>
      </c>
      <c r="BQ41" s="125" t="str">
        <f>IFERROR(VLOOKUP(BQ40,教师安排!$A:$Y,BQ$2+1,FALSE),"")</f>
        <v/>
      </c>
      <c r="BR41" s="125"/>
      <c r="BS41" s="125" t="str">
        <f>IFERROR(VLOOKUP(BS40,教师安排!$A:$Y,BS$2+1,FALSE),"")</f>
        <v/>
      </c>
      <c r="BT41" s="125" t="str">
        <f>IFERROR(VLOOKUP(BT40,教师安排!$A:$Y,BT$2+1,FALSE),"")</f>
        <v/>
      </c>
      <c r="BU41" s="125" t="str">
        <f>IFERROR(VLOOKUP(BU40,教师安排!$A:$Y,BU$2+1,FALSE),"")</f>
        <v/>
      </c>
      <c r="BV41" s="125" t="str">
        <f>IFERROR(VLOOKUP(BV40,教师安排!$A:$Y,BV$2+1,FALSE),"")</f>
        <v/>
      </c>
      <c r="BW41" s="126" t="str">
        <f>IFERROR(VLOOKUP(BW40,教师安排!$A:$Y,BW$2+1,FALSE),"")</f>
        <v>李雯</v>
      </c>
      <c r="BX41" s="126" t="str">
        <f>IFERROR(VLOOKUP(BX40,教师安排!$A:$Y,BX$2+1,FALSE),"")</f>
        <v>田凤美</v>
      </c>
      <c r="BY41" s="126" t="str">
        <f>IFERROR(VLOOKUP(BY40,教师安排!$A:$Y,BY$2+1,FALSE),"")</f>
        <v>李会玲</v>
      </c>
      <c r="BZ41" s="126" t="str">
        <f>IFERROR(VLOOKUP(BZ40,教师安排!$A:$Y,BZ$2+1,FALSE),"")</f>
        <v>侯淑贤</v>
      </c>
      <c r="CA41" s="126" t="str">
        <f>IFERROR(VLOOKUP(CA40,教师安排!$A:$Y,CA$2+1,FALSE),"")</f>
        <v>刘腾</v>
      </c>
      <c r="CB41" s="126" t="str">
        <f>IFERROR(VLOOKUP(CB40,教师安排!$A:$Y,CB$2+1,FALSE),"")</f>
        <v>孙存义</v>
      </c>
      <c r="CC41" s="126" t="str">
        <f>IFERROR(VLOOKUP(CC40,教师安排!$A:$Y,CC$2+1,FALSE),"")</f>
        <v>韩丽梅</v>
      </c>
      <c r="CD41" s="126" t="str">
        <f>IFERROR(VLOOKUP(CD40,教师安排!$A:$Y,CD$2+1,FALSE),"")</f>
        <v>高文凤</v>
      </c>
      <c r="CE41" s="126" t="str">
        <f>IFERROR(VLOOKUP(CE40,教师安排!$A:$Y,CE$2+1,FALSE),"")</f>
        <v>王灼</v>
      </c>
      <c r="CF41" s="126" t="str">
        <f>IFERROR(VLOOKUP(CF40,教师安排!$A:$Y,CF$2+1,FALSE),"")</f>
        <v>王菲</v>
      </c>
      <c r="CG41" s="126" t="str">
        <f>IFERROR(VLOOKUP(CG40,教师安排!$A:$Y,CG$2+1,FALSE),"")</f>
        <v>孙锦锦</v>
      </c>
      <c r="CH41" s="126">
        <f>IFERROR(VLOOKUP(CH40,教师安排!$A:$Y,CH$2+1,FALSE),"")</f>
        <v>0</v>
      </c>
      <c r="CI41" s="126" t="str">
        <f>IFERROR(VLOOKUP(CI40,教师安排!$A:$Y,CI$2+1,FALSE),"")</f>
        <v>王硕</v>
      </c>
      <c r="CJ41" s="126" t="str">
        <f>IFERROR(VLOOKUP(CJ40,教师安排!$A:$Y,CJ$2+1,FALSE),"")</f>
        <v>李浩然</v>
      </c>
      <c r="CK41" s="126" t="str">
        <f>IFERROR(VLOOKUP(CK40,教师安排!$A:$Y,CK$2+1,FALSE),"")</f>
        <v>路睿</v>
      </c>
      <c r="CL41" s="126" t="str">
        <f>IFERROR(VLOOKUP(CL40,教师安排!$A:$Y,CL$2+1,FALSE),"")</f>
        <v/>
      </c>
      <c r="CM41" s="126" t="str">
        <f>IFERROR(VLOOKUP(CM40,教师安排!$A:$Y,CM$2+1,FALSE),"")</f>
        <v/>
      </c>
      <c r="CN41" s="126" t="str">
        <f>IFERROR(VLOOKUP(CN40,教师安排!$A:$Y,CN$2+1,FALSE),"")</f>
        <v/>
      </c>
      <c r="CO41" s="126" t="str">
        <f>IFERROR(VLOOKUP(CO40,教师安排!$A:$Y,CO$2+1,FALSE),"")</f>
        <v/>
      </c>
      <c r="CP41" s="126" t="str">
        <f>IFERROR(VLOOKUP(CP40,教师安排!$A:$Y,CP$2+1,FALSE),"")</f>
        <v/>
      </c>
      <c r="CQ41" s="126"/>
      <c r="CR41" s="126" t="str">
        <f>IFERROR(VLOOKUP(CR40,教师安排!$A:$Y,CR$2+1,FALSE),"")</f>
        <v/>
      </c>
      <c r="CS41" s="126" t="str">
        <f>IFERROR(VLOOKUP(CS40,教师安排!$A:$Y,CS$2+1,FALSE),"")</f>
        <v/>
      </c>
      <c r="CT41" s="126" t="str">
        <f>IFERROR(VLOOKUP(CT40,教师安排!$A:$Y,CT$2+1,FALSE),"")</f>
        <v/>
      </c>
      <c r="CU41" s="125" t="str">
        <f>IFERROR(VLOOKUP(CU40,教师安排!$A:$Y,CU$2+1,FALSE),"")</f>
        <v>李会玲</v>
      </c>
      <c r="CV41" s="125" t="str">
        <f>IFERROR(VLOOKUP(CV40,教师安排!$A:$Y,CV$2+1,FALSE),"")</f>
        <v>张雨晴</v>
      </c>
      <c r="CW41" s="125" t="str">
        <f>IFERROR(VLOOKUP(CW40,教师安排!$A:$Y,CW$2+1,FALSE),"")</f>
        <v>杨彬</v>
      </c>
      <c r="CX41" s="125" t="str">
        <f>IFERROR(VLOOKUP(CX40,教师安排!$A:$Y,CX$2+1,FALSE),"")</f>
        <v>周兴玲</v>
      </c>
      <c r="CY41" s="125" t="str">
        <f>IFERROR(VLOOKUP(CY40,教师安排!$A:$Y,CY$2+1,FALSE),"")</f>
        <v>张冰雪</v>
      </c>
      <c r="CZ41" s="125" t="str">
        <f>IFERROR(VLOOKUP(CZ40,教师安排!$A:$Y,CZ$2+1,FALSE),"")</f>
        <v>蒋心言</v>
      </c>
      <c r="DA41" s="125" t="str">
        <f>IFERROR(VLOOKUP(DA40,教师安排!$A:$Y,DA$2+1,FALSE),"")</f>
        <v>孙存义</v>
      </c>
      <c r="DB41" s="125" t="str">
        <f>IFERROR(VLOOKUP(DB40,教师安排!$A:$Y,DB$2+1,FALSE),"")</f>
        <v>高文凤</v>
      </c>
      <c r="DC41" s="125" t="str">
        <f>IFERROR(VLOOKUP(DC40,教师安排!$A:$Y,DC$2+1,FALSE),"")</f>
        <v>田凤美</v>
      </c>
      <c r="DD41" s="125" t="str">
        <f>IFERROR(VLOOKUP(DD40,教师安排!$A:$Y,DD$2+1,FALSE),"")</f>
        <v>董艳华</v>
      </c>
      <c r="DE41" s="125" t="str">
        <f>IFERROR(VLOOKUP(DE40,教师安排!$A:$Y,DE$2+1,FALSE),"")</f>
        <v>王/宋/翟/胡</v>
      </c>
      <c r="DF41" s="125">
        <f>IFERROR(VLOOKUP(DF40,教师安排!$A:$Y,DF$2+1,FALSE),"")</f>
        <v>0</v>
      </c>
      <c r="DG41" s="125" t="str">
        <f>IFERROR(VLOOKUP(DG40,教师安排!$A:$Y,DG$2+1,FALSE),"")</f>
        <v>宋/韩/王</v>
      </c>
      <c r="DH41" s="125" t="str">
        <f>IFERROR(VLOOKUP(DH40,教师安排!$A:$Y,DH$2+1,FALSE),"")</f>
        <v>翟/韩/王</v>
      </c>
      <c r="DI41" s="125" t="str">
        <f>IFERROR(VLOOKUP(DI40,教师安排!$A:$Y,DI$2+1,FALSE),"")</f>
        <v>胡/韩/王</v>
      </c>
      <c r="DJ41" s="125" t="str">
        <f>IFERROR(VLOOKUP(DJ40,教师安排!$A:$Y,DJ$2+1,FALSE),"")</f>
        <v/>
      </c>
      <c r="DK41" s="125" t="str">
        <f>IFERROR(VLOOKUP(DK40,教师安排!$A:$Y,DK$2+1,FALSE),"")</f>
        <v/>
      </c>
      <c r="DL41" s="125" t="str">
        <f>IFERROR(VLOOKUP(DL40,教师安排!$A:$Y,DL$2+1,FALSE),"")</f>
        <v/>
      </c>
      <c r="DM41" s="125" t="str">
        <f>IFERROR(VLOOKUP(DM40,教师安排!$A:$Y,DM$2+1,FALSE),"")</f>
        <v/>
      </c>
      <c r="DN41" s="125" t="str">
        <f>IFERROR(VLOOKUP(DN40,教师安排!$A:$Y,DN$2+1,FALSE),"")</f>
        <v>王灼</v>
      </c>
      <c r="DO41" s="125" t="str">
        <f>IFERROR(VLOOKUP(DO40,教师安排!$A:$Y,DO$2+1,FALSE),"")</f>
        <v>韩丽梅</v>
      </c>
      <c r="DP41" s="125" t="str">
        <f>IFERROR(VLOOKUP(DP40,教师安排!$A:$Y,DP$2+1,FALSE),"")</f>
        <v>宋平</v>
      </c>
      <c r="DQ41" s="125" t="str">
        <f>IFERROR(VLOOKUP(DQ40,教师安排!$A:$Y,DQ$2+1,FALSE),"")</f>
        <v>翟淑玮</v>
      </c>
      <c r="DR41" s="125" t="str">
        <f>IFERROR(VLOOKUP(DR40,教师安排!$A:$Y,DR$2+1,FALSE),"")</f>
        <v>胡存想</v>
      </c>
      <c r="DS41" s="124" t="str">
        <f>IFERROR(VLOOKUP(DS40,教师安排!$A:$Y,DS$2+1,FALSE),"")</f>
        <v>马崇庆</v>
      </c>
      <c r="DT41" s="124" t="str">
        <f>IFERROR(VLOOKUP(DT40,教师安排!$A:$Y,DT$2+1,FALSE),"")</f>
        <v>李会玲</v>
      </c>
      <c r="DU41" s="124" t="str">
        <f>IFERROR(VLOOKUP(DU40,教师安排!$A:$Y,DU$2+1,FALSE),"")</f>
        <v>姚来朋</v>
      </c>
      <c r="DV41" s="124" t="str">
        <f>IFERROR(VLOOKUP(DV40,教师安排!$A:$Y,DV$2+1,FALSE),"")</f>
        <v>侯淑贤</v>
      </c>
      <c r="DW41" s="124" t="str">
        <f>IFERROR(VLOOKUP(DW40,教师安排!$A:$Y,DW$2+1,FALSE),"")</f>
        <v>赵雪敏</v>
      </c>
      <c r="DX41" s="124" t="str">
        <f>IFERROR(VLOOKUP(DX40,教师安排!$A:$Y,DX$2+1,FALSE),"")</f>
        <v>翟淑玮</v>
      </c>
      <c r="DY41" s="124" t="str">
        <f>IFERROR(VLOOKUP(DY40,教师安排!$A:$Y,DY$2+1,FALSE),"")</f>
        <v>王雪莲</v>
      </c>
      <c r="DZ41" s="124" t="str">
        <f>IFERROR(VLOOKUP(DZ40,教师安排!$A:$Y,DZ$2+1,FALSE),"")</f>
        <v>宋平</v>
      </c>
      <c r="EA41" s="124" t="str">
        <f>IFERROR(VLOOKUP(EA40,教师安排!$A:$Y,EA$2+1,FALSE),"")</f>
        <v>张冰雪</v>
      </c>
      <c r="EB41" s="124" t="str">
        <f>IFERROR(VLOOKUP(EB40,教师安排!$A:$Y,EB$2+1,FALSE),"")</f>
        <v>胡存想</v>
      </c>
      <c r="EC41" s="124" t="str">
        <f>IFERROR(VLOOKUP(EC40,教师安排!$A:$Y,EC$2+1,FALSE),"")</f>
        <v>张雯皓</v>
      </c>
      <c r="ED41" s="124">
        <f>IFERROR(VLOOKUP(ED40,教师安排!$A:$Y,ED$2+1,FALSE),"")</f>
        <v>0</v>
      </c>
      <c r="EE41" s="124" t="str">
        <f>IFERROR(VLOOKUP(EE40,教师安排!$A:$Y,EE$2+1,FALSE),"")</f>
        <v>范林林</v>
      </c>
      <c r="EF41" s="124" t="str">
        <f>IFERROR(VLOOKUP(EF40,教师安排!$A:$Y,EF$2+1,FALSE),"")</f>
        <v>王露</v>
      </c>
      <c r="EG41" s="124" t="str">
        <f>IFERROR(VLOOKUP(EG40,教师安排!$A:$Y,EG$2+1,FALSE),"")</f>
        <v>高文凤</v>
      </c>
      <c r="EH41" s="124" t="str">
        <f>IFERROR(VLOOKUP(EH40,教师安排!$A:$Y,EH$2+1,FALSE),"")</f>
        <v/>
      </c>
      <c r="EI41" s="124" t="str">
        <f>IFERROR(VLOOKUP(EI40,教师安排!$A:$Y,EI$2+1,FALSE),"")</f>
        <v/>
      </c>
      <c r="EJ41" s="124" t="str">
        <f>IFERROR(VLOOKUP(EJ40,教师安排!$A:$Y,EJ$2+1,FALSE),"")</f>
        <v/>
      </c>
      <c r="EK41" s="124" t="str">
        <f>IFERROR(VLOOKUP(EK40,教师安排!$A:$Y,EK$2+1,FALSE),"")</f>
        <v/>
      </c>
      <c r="EL41" s="124"/>
      <c r="EM41" s="124" t="str">
        <f>IFERROR(VLOOKUP(EM40,教师安排!$A:$Y,EM$2+1,FALSE),"")</f>
        <v/>
      </c>
      <c r="EN41" s="124" t="str">
        <f>IFERROR(VLOOKUP(EN40,教师安排!$A:$Y,EN$2+1,FALSE),"")</f>
        <v/>
      </c>
      <c r="EO41" s="124" t="str">
        <f>IFERROR(VLOOKUP(EO40,教师安排!$A:$Y,EO$2+1,FALSE),"")</f>
        <v/>
      </c>
      <c r="EP41" s="124" t="str">
        <f>IFERROR(VLOOKUP(EP40,教师安排!$A:$Y,EP$2+1,FALSE),"")</f>
        <v/>
      </c>
      <c r="EQ41" s="123" t="str">
        <f>IFERROR(VLOOKUP(EQ40,教师安排!$A:$Y,EQ$2+1,FALSE),"")</f>
        <v>杨彬</v>
      </c>
      <c r="ER41" s="123" t="str">
        <f>IFERROR(VLOOKUP(ER40,教师安排!$A:$Y,ER$2+1,FALSE),"")</f>
        <v>岳/厉</v>
      </c>
      <c r="ES41" s="123" t="str">
        <f>IFERROR(VLOOKUP(ES40,教师安排!$A:$Y,ES$2+1,FALSE),"")</f>
        <v>岳/厉</v>
      </c>
      <c r="ET41" s="123" t="str">
        <f>IFERROR(VLOOKUP(ET40,教师安排!$A:$Y,ET$2+1,FALSE),"")</f>
        <v>康波</v>
      </c>
      <c r="EU41" s="123" t="str">
        <f>IFERROR(VLOOKUP(EU40,教师安排!$A:$Y,EU$2+1,FALSE),"")</f>
        <v>孙存义</v>
      </c>
      <c r="EV41" s="123" t="str">
        <f>IFERROR(VLOOKUP(EV40,教师安排!$A:$Y,EV$2+1,FALSE),"")</f>
        <v>李振铎</v>
      </c>
      <c r="EW41" s="123" t="str">
        <f>IFERROR(VLOOKUP(EW40,教师安排!$A:$Y,EW$2+1,FALSE),"")</f>
        <v>范林林</v>
      </c>
      <c r="EX41" s="123" t="str">
        <f>IFERROR(VLOOKUP(EX40,教师安排!$A:$Y,EX$2+1,FALSE),"")</f>
        <v>路睿</v>
      </c>
      <c r="EY41" s="123" t="str">
        <f>IFERROR(VLOOKUP(EY40,教师安排!$A:$Y,EY$2+1,FALSE),"")</f>
        <v>田凤美</v>
      </c>
      <c r="EZ41" s="123" t="str">
        <f>IFERROR(VLOOKUP(EZ40,教师安排!$A:$Y,EZ$2+1,FALSE),"")</f>
        <v>王菲</v>
      </c>
      <c r="FA41" s="123" t="str">
        <f>IFERROR(VLOOKUP(FA40,教师安排!$A:$Y,FA$2+1,FALSE),"")</f>
        <v>孙锦锦</v>
      </c>
      <c r="FB41" s="123">
        <f>IFERROR(VLOOKUP(FB40,教师安排!$A:$Y,FB$2+1,FALSE),"")</f>
        <v>0</v>
      </c>
      <c r="FC41" s="123" t="str">
        <f>IFERROR(VLOOKUP(FC40,教师安排!$A:$Y,FC$2+1,FALSE),"")</f>
        <v>李浩然</v>
      </c>
      <c r="FD41" s="123" t="str">
        <f>IFERROR(VLOOKUP(FD40,教师安排!$A:$Y,FD$2+1,FALSE),"")</f>
        <v>董艳华</v>
      </c>
      <c r="FE41" s="123" t="str">
        <f>IFERROR(VLOOKUP(FE40,教师安排!$A:$Y,FE$2+1,FALSE),"")</f>
        <v>张鑫</v>
      </c>
      <c r="FF41" s="123" t="str">
        <f>IFERROR(VLOOKUP(FF40,教师安排!$A:$Y,FF$2+1,FALSE),"")</f>
        <v/>
      </c>
      <c r="FG41" s="123" t="str">
        <f>IFERROR(VLOOKUP(FG40,教师安排!$A:$Y,FG$2+1,FALSE),"")</f>
        <v>岳海霞</v>
      </c>
      <c r="FH41" s="123" t="str">
        <f>IFERROR(VLOOKUP(FH40,教师安排!$A:$Y,FH$2+1,FALSE),"")</f>
        <v/>
      </c>
      <c r="FI41" s="123" t="str">
        <f>IFERROR(VLOOKUP(FI40,教师安排!$A:$Y,FI$2+1,FALSE),"")</f>
        <v>厉彦龙</v>
      </c>
      <c r="FJ41" s="123"/>
      <c r="FK41" s="123" t="str">
        <f>IFERROR(VLOOKUP(FK40,教师安排!$A:$Y,FK$2+1,FALSE),"")</f>
        <v/>
      </c>
      <c r="FL41" s="123" t="str">
        <f>IFERROR(VLOOKUP(FL40,教师安排!$A:$Y,FL$2+1,FALSE),"")</f>
        <v/>
      </c>
      <c r="FM41" s="123" t="str">
        <f>IFERROR(VLOOKUP(FM40,教师安排!$A:$Y,FM$2+1,FALSE),"")</f>
        <v/>
      </c>
      <c r="FN41" s="123" t="str">
        <f>IFERROR(VLOOKUP(FN40,教师安排!$A:$Y,FN$2+1,FALSE),"")</f>
        <v/>
      </c>
      <c r="FO41" s="126" t="str">
        <f>IFERROR(VLOOKUP(FO40,教师安排!$A:$Y,FO$2+1,FALSE),"")</f>
        <v>岳/厉</v>
      </c>
      <c r="FP41" s="126" t="str">
        <f>IFERROR(VLOOKUP(FP40,教师安排!$A:$Y,FP$2+1,FALSE),"")</f>
        <v>史振塞</v>
      </c>
      <c r="FQ41" s="126" t="str">
        <f>IFERROR(VLOOKUP(FQ40,教师安排!$A:$Y,FQ$2+1,FALSE),"")</f>
        <v>周兴玲</v>
      </c>
      <c r="FR41" s="126" t="str">
        <f>IFERROR(VLOOKUP(FR40,教师安排!$A:$Y,FR$2+1,FALSE),"")</f>
        <v>岳/厉</v>
      </c>
      <c r="FS41" s="126" t="str">
        <f>IFERROR(VLOOKUP(FS40,教师安排!$A:$Y,FS$2+1,FALSE),"")</f>
        <v>王灼</v>
      </c>
      <c r="FT41" s="126" t="str">
        <f>IFERROR(VLOOKUP(FT40,教师安排!$A:$Y,FT$2+1,FALSE),"")</f>
        <v>姜媛媛</v>
      </c>
      <c r="FU41" s="126" t="str">
        <f>IFERROR(VLOOKUP(FU40,教师安排!$A:$Y,FU$2+1,FALSE),"")</f>
        <v>范林林</v>
      </c>
      <c r="FV41" s="126" t="str">
        <f>IFERROR(VLOOKUP(FV40,教师安排!$A:$Y,FV$2+1,FALSE),"")</f>
        <v>孙秋杰</v>
      </c>
      <c r="FW41" s="126" t="str">
        <f>IFERROR(VLOOKUP(FW40,教师安排!$A:$Y,FW$2+1,FALSE),"")</f>
        <v>田凤美</v>
      </c>
      <c r="FX41" s="126" t="str">
        <f>IFERROR(VLOOKUP(FX40,教师安排!$A:$Y,FX$2+1,FALSE),"")</f>
        <v>孙娜</v>
      </c>
      <c r="FY41" s="126" t="str">
        <f>IFERROR(VLOOKUP(FY40,教师安排!$A:$Y,FY$2+1,FALSE),"")</f>
        <v>路睿</v>
      </c>
      <c r="FZ41" s="126">
        <f>IFERROR(VLOOKUP(FZ40,教师安排!$A:$Y,FZ$2+1,FALSE),"")</f>
        <v>0</v>
      </c>
      <c r="GA41" s="126" t="str">
        <f>IFERROR(VLOOKUP(GA40,教师安排!$A:$Y,GA$2+1,FALSE),"")</f>
        <v>王菲</v>
      </c>
      <c r="GB41" s="126" t="str">
        <f>IFERROR(VLOOKUP(GB40,教师安排!$A:$Y,GB$2+1,FALSE),"")</f>
        <v>王露</v>
      </c>
      <c r="GC41" s="126" t="str">
        <f>IFERROR(VLOOKUP(GC40,教师安排!$A:$Y,GC$2+1,FALSE),"")</f>
        <v>夏文杰</v>
      </c>
      <c r="GD41" s="126" t="str">
        <f>IFERROR(VLOOKUP(GD40,教师安排!$A:$Y,GD$2+1,FALSE),"")</f>
        <v>岳海霞</v>
      </c>
      <c r="GE41" s="126" t="str">
        <f>IFERROR(VLOOKUP(GE40,教师安排!$A:$Y,GE$2+1,FALSE),"")</f>
        <v/>
      </c>
      <c r="GF41" s="126" t="str">
        <f>IFERROR(VLOOKUP(GF40,教师安排!$A:$Y,GF$2+1,FALSE),"")</f>
        <v>厉彦龙</v>
      </c>
      <c r="GG41" s="126" t="str">
        <f>IFERROR(VLOOKUP(GG40,教师安排!$A:$Y,GG$2+1,FALSE),"")</f>
        <v/>
      </c>
      <c r="GH41" s="126"/>
      <c r="GI41" s="126" t="str">
        <f>IFERROR(VLOOKUP(GI40,教师安排!$A:$Y,GI$2+1,FALSE),"")</f>
        <v/>
      </c>
      <c r="GJ41" s="126" t="str">
        <f>IFERROR(VLOOKUP(GJ40,教师安排!$A:$Y,GJ$2+1,FALSE),"")</f>
        <v/>
      </c>
      <c r="GK41" s="126" t="str">
        <f>IFERROR(VLOOKUP(GK40,教师安排!$A:$Y,GK$2+1,FALSE),"")</f>
        <v/>
      </c>
      <c r="GL41" s="126" t="str">
        <f>IFERROR(VLOOKUP(GL40,教师安排!$A:$Y,GL$2+1,FALSE),"")</f>
        <v/>
      </c>
      <c r="GM41" s="125" t="str">
        <f>IFERROR(VLOOKUP(GM40,教师安排!$A:$Y,GM$2+1,FALSE),"")</f>
        <v>李会玲</v>
      </c>
      <c r="GN41" s="125" t="str">
        <f>IFERROR(VLOOKUP(GN40,教师安排!$A:$Y,GN$2+1,FALSE),"")</f>
        <v>姚来朋</v>
      </c>
      <c r="GO41" s="125" t="str">
        <f>IFERROR(VLOOKUP(GO40,教师安排!$A:$Y,GO$2+1,FALSE),"")</f>
        <v>张雨晴</v>
      </c>
      <c r="GP41" s="125" t="str">
        <f>IFERROR(VLOOKUP(GP40,教师安排!$A:$Y,GP$2+1,FALSE),"")</f>
        <v>康波</v>
      </c>
      <c r="GQ41" s="125" t="str">
        <f>IFERROR(VLOOKUP(GQ40,教师安排!$A:$Y,GQ$2+1,FALSE),"")</f>
        <v>赵雪敏</v>
      </c>
      <c r="GR41" s="125" t="str">
        <f>IFERROR(VLOOKUP(GR40,教师安排!$A:$Y,GR$2+1,FALSE),"")</f>
        <v>李振铎</v>
      </c>
      <c r="GS41" s="125" t="str">
        <f>IFERROR(VLOOKUP(GS40,教师安排!$A:$Y,GS$2+1,FALSE),"")</f>
        <v>孙存义</v>
      </c>
      <c r="GT41" s="125" t="str">
        <f>IFERROR(VLOOKUP(GT40,教师安排!$A:$Y,GT$2+1,FALSE),"")</f>
        <v>路睿</v>
      </c>
      <c r="GU41" s="125" t="str">
        <f>IFERROR(VLOOKUP(GU40,教师安排!$A:$Y,GU$2+1,FALSE),"")</f>
        <v>王硕</v>
      </c>
      <c r="GV41" s="125" t="str">
        <f>IFERROR(VLOOKUP(GV40,教师安排!$A:$Y,GV$2+1,FALSE),"")</f>
        <v>孙秋杰</v>
      </c>
      <c r="GW41" s="125" t="str">
        <f>IFERROR(VLOOKUP(GW40,教师安排!$A:$Y,GW$2+1,FALSE),"")</f>
        <v>王/宋/翟/胡</v>
      </c>
      <c r="GX41" s="125">
        <f>IFERROR(VLOOKUP(GX40,教师安排!$A:$Y,GX$2+1,FALSE),"")</f>
        <v>0</v>
      </c>
      <c r="GY41" s="125" t="str">
        <f>IFERROR(VLOOKUP(GY40,教师安排!$A:$Y,GY$2+1,FALSE),"")</f>
        <v>宋/韩/王</v>
      </c>
      <c r="GZ41" s="125" t="str">
        <f>IFERROR(VLOOKUP(GZ40,教师安排!$A:$Y,GZ$2+1,FALSE),"")</f>
        <v>翟/韩/王</v>
      </c>
      <c r="HA41" s="125" t="str">
        <f>IFERROR(VLOOKUP(HA40,教师安排!$A:$Y,HA$2+1,FALSE),"")</f>
        <v>胡/韩/王</v>
      </c>
      <c r="HB41" s="125" t="str">
        <f>IFERROR(VLOOKUP(HB40,教师安排!$A:$Y,HB$2+1,FALSE),"")</f>
        <v/>
      </c>
      <c r="HC41" s="125" t="str">
        <f>IFERROR(VLOOKUP(HC40,教师安排!$A:$Y,HC$2+1,FALSE),"")</f>
        <v/>
      </c>
      <c r="HD41" s="125" t="str">
        <f>IFERROR(VLOOKUP(HD40,教师安排!$A:$Y,HD$2+1,FALSE),"")</f>
        <v/>
      </c>
      <c r="HE41" s="125" t="str">
        <f>IFERROR(VLOOKUP(HE40,教师安排!$A:$Y,HE$2+1,FALSE),"")</f>
        <v/>
      </c>
      <c r="HF41" s="125" t="str">
        <f>IFERROR(VLOOKUP(HF40,教师安排!$A:$Y,HF$2+1,FALSE),"")</f>
        <v>王灼</v>
      </c>
      <c r="HG41" s="125" t="str">
        <f>IFERROR(VLOOKUP(HG40,教师安排!$A:$Y,HG$2+1,FALSE),"")</f>
        <v>韩丽梅</v>
      </c>
      <c r="HH41" s="125" t="str">
        <f>IFERROR(VLOOKUP(HH40,教师安排!$A:$Y,HH$2+1,FALSE),"")</f>
        <v>宋平</v>
      </c>
      <c r="HI41" s="125" t="str">
        <f>IFERROR(VLOOKUP(HI40,教师安排!$A:$Y,HI$2+1,FALSE),"")</f>
        <v>翟淑玮</v>
      </c>
      <c r="HJ41" s="125" t="str">
        <f>IFERROR(VLOOKUP(HJ40,教师安排!$A:$Y,HJ$2+1,FALSE),"")</f>
        <v>胡存想</v>
      </c>
      <c r="HK41" s="126" t="str">
        <f>IFERROR(VLOOKUP(HK40,教师安排!$A:$Y,HK$2+1,FALSE),"")</f>
        <v>杨彬</v>
      </c>
      <c r="HL41" s="126" t="str">
        <f>IFERROR(VLOOKUP(HL40,教师安排!$A:$Y,HL$2+1,FALSE),"")</f>
        <v>宋开元</v>
      </c>
      <c r="HM41" s="126" t="str">
        <f>IFERROR(VLOOKUP(HM40,教师安排!$A:$Y,HM$2+1,FALSE),"")</f>
        <v>姚来朋</v>
      </c>
      <c r="HN41" s="126" t="str">
        <f>IFERROR(VLOOKUP(HN40,教师安排!$A:$Y,HN$2+1,FALSE),"")</f>
        <v>史振塞</v>
      </c>
      <c r="HO41" s="126" t="str">
        <f>IFERROR(VLOOKUP(HO40,教师安排!$A:$Y,HO$2+1,FALSE),"")</f>
        <v>张冰雪</v>
      </c>
      <c r="HP41" s="126" t="str">
        <f>IFERROR(VLOOKUP(HP40,教师安排!$A:$Y,HP$2+1,FALSE),"")</f>
        <v>王露</v>
      </c>
      <c r="HQ41" s="126" t="str">
        <f>IFERROR(VLOOKUP(HQ40,教师安排!$A:$Y,HQ$2+1,FALSE),"")</f>
        <v>马崇庆</v>
      </c>
      <c r="HR41" s="126" t="str">
        <f>IFERROR(VLOOKUP(HR40,教师安排!$A:$Y,HR$2+1,FALSE),"")</f>
        <v>高文凤</v>
      </c>
      <c r="HS41" s="126" t="str">
        <f>IFERROR(VLOOKUP(HS40,教师安排!$A:$Y,HS$2+1,FALSE),"")</f>
        <v>王硕</v>
      </c>
      <c r="HT41" s="126" t="str">
        <f>IFERROR(VLOOKUP(HT40,教师安排!$A:$Y,HT$2+1,FALSE),"")</f>
        <v>蒋心言</v>
      </c>
      <c r="HU41" s="126" t="str">
        <f>IFERROR(VLOOKUP(HU40,教师安排!$A:$Y,HU$2+1,FALSE),"")</f>
        <v>范林林</v>
      </c>
      <c r="HV41" s="126">
        <f>IFERROR(VLOOKUP(HV40,教师安排!$A:$Y,HV$2+1,FALSE),"")</f>
        <v>0</v>
      </c>
      <c r="HW41" s="126" t="str">
        <f>IFERROR(VLOOKUP(HW40,教师安排!$A:$Y,HW$2+1,FALSE),"")</f>
        <v>夏文杰</v>
      </c>
      <c r="HX41" s="126" t="str">
        <f>IFERROR(VLOOKUP(HX40,教师安排!$A:$Y,HX$2+1,FALSE),"")</f>
        <v>姜媛媛</v>
      </c>
      <c r="HY41" s="126" t="str">
        <f>IFERROR(VLOOKUP(HY40,教师安排!$A:$Y,HY$2+1,FALSE),"")</f>
        <v>张鑫</v>
      </c>
      <c r="HZ41" s="126" t="str">
        <f>IFERROR(VLOOKUP(HZ40,教师安排!$A:$Y,HZ$2+1,FALSE),"")</f>
        <v/>
      </c>
      <c r="IA41" s="126" t="str">
        <f>IFERROR(VLOOKUP(IA40,教师安排!$A:$Y,IA$2+1,FALSE),"")</f>
        <v/>
      </c>
      <c r="IB41" s="126" t="str">
        <f>IFERROR(VLOOKUP(IB40,教师安排!$A:$Y,IB$2+1,FALSE),"")</f>
        <v/>
      </c>
      <c r="IC41" s="126" t="str">
        <f>IFERROR(VLOOKUP(IC40,教师安排!$A:$Y,IC$2+1,FALSE),"")</f>
        <v/>
      </c>
      <c r="ID41" s="126"/>
      <c r="IE41" s="126" t="str">
        <f>IFERROR(VLOOKUP(IE40,教师安排!$A:$Y,IE$2+1,FALSE),"")</f>
        <v/>
      </c>
      <c r="IF41" s="126" t="str">
        <f>IFERROR(VLOOKUP(IF40,教师安排!$A:$Y,IF$2+1,FALSE),"")</f>
        <v/>
      </c>
      <c r="IG41" s="126" t="str">
        <f>IFERROR(VLOOKUP(IG40,教师安排!$A:$Y,IG$2+1,FALSE),"")</f>
        <v/>
      </c>
      <c r="IH41" s="126" t="str">
        <f>IFERROR(VLOOKUP(IH40,教师安排!$A:$Y,IH$2+1,FALSE),"")</f>
        <v/>
      </c>
      <c r="II41" s="125" t="str">
        <f>IFERROR(VLOOKUP(II40,教师安排!$A:$Y,II$2+1,FALSE),"")</f>
        <v>李雯</v>
      </c>
      <c r="IJ41" s="125" t="str">
        <f>IFERROR(VLOOKUP(IJ40,教师安排!$A:$Y,IJ$2+1,FALSE),"")</f>
        <v>张雨晴</v>
      </c>
      <c r="IK41" s="125" t="str">
        <f>IFERROR(VLOOKUP(IK40,教师安排!$A:$Y,IK$2+1,FALSE),"")</f>
        <v>李会玲</v>
      </c>
      <c r="IL41" s="125" t="str">
        <f>IFERROR(VLOOKUP(IL40,教师安排!$A:$Y,IL$2+1,FALSE),"")</f>
        <v>侯淑贤</v>
      </c>
      <c r="IM41" s="125" t="str">
        <f>IFERROR(VLOOKUP(IM40,教师安排!$A:$Y,IM$2+1,FALSE),"")</f>
        <v>刘腾</v>
      </c>
      <c r="IN41" s="125" t="str">
        <f>IFERROR(VLOOKUP(IN40,教师安排!$A:$Y,IN$2+1,FALSE),"")</f>
        <v>孙存义</v>
      </c>
      <c r="IO41" s="125" t="str">
        <f>IFERROR(VLOOKUP(IO40,教师安排!$A:$Y,IO$2+1,FALSE),"")</f>
        <v>王雪莲</v>
      </c>
      <c r="IP41" s="125" t="str">
        <f>IFERROR(VLOOKUP(IP40,教师安排!$A:$Y,IP$2+1,FALSE),"")</f>
        <v>高文凤</v>
      </c>
      <c r="IQ41" s="125" t="str">
        <f>IFERROR(VLOOKUP(IQ40,教师安排!$A:$Y,IQ$2+1,FALSE),"")</f>
        <v>王灼</v>
      </c>
      <c r="IR41" s="125" t="str">
        <f>IFERROR(VLOOKUP(IR40,教师安排!$A:$Y,IR$2+1,FALSE),"")</f>
        <v>王菲</v>
      </c>
      <c r="IS41" s="125" t="str">
        <f>IFERROR(VLOOKUP(IS40,教师安排!$A:$Y,IS$2+1,FALSE),"")</f>
        <v>孙锦锦</v>
      </c>
      <c r="IT41" s="125">
        <f>IFERROR(VLOOKUP(IT40,教师安排!$A:$Y,IT$2+1,FALSE),"")</f>
        <v>0</v>
      </c>
      <c r="IU41" s="125" t="str">
        <f>IFERROR(VLOOKUP(IU40,教师安排!$A:$Y,IU$2+1,FALSE),"")</f>
        <v>王硕</v>
      </c>
      <c r="IV41" s="125" t="str">
        <f>IFERROR(VLOOKUP(IV40,教师安排!$A:$Y,IV$2+1,FALSE),"")</f>
        <v>李浩然</v>
      </c>
      <c r="IW41" s="125" t="str">
        <f>IFERROR(VLOOKUP(IW40,教师安排!$A:$Y,IW$2+1,FALSE),"")</f>
        <v>路睿</v>
      </c>
      <c r="IX41" s="125" t="str">
        <f>IFERROR(VLOOKUP(IX40,教师安排!$A:$Y,IX$2+1,FALSE),"")</f>
        <v/>
      </c>
      <c r="IY41" s="125" t="str">
        <f>IFERROR(VLOOKUP(IY40,教师安排!$A:$Y,IY$2+1,FALSE),"")</f>
        <v/>
      </c>
      <c r="IZ41" s="125" t="str">
        <f>IFERROR(VLOOKUP(IZ40,教师安排!$A:$Y,IZ$2+1,FALSE),"")</f>
        <v/>
      </c>
      <c r="JA41" s="125" t="str">
        <f>IFERROR(VLOOKUP(JA40,教师安排!$A:$Y,JA$2+1,FALSE),"")</f>
        <v/>
      </c>
      <c r="JB41" s="125"/>
      <c r="JC41" s="125" t="str">
        <f>IFERROR(VLOOKUP(JC40,教师安排!$A:$Y,JC$2+1,FALSE),"")</f>
        <v/>
      </c>
      <c r="JD41" s="125" t="str">
        <f>IFERROR(VLOOKUP(JD40,教师安排!$A:$Y,JD$2+1,FALSE),"")</f>
        <v/>
      </c>
      <c r="JE41" s="125" t="str">
        <f>IFERROR(VLOOKUP(JE40,教师安排!$A:$Y,JE$2+1,FALSE),"")</f>
        <v/>
      </c>
      <c r="JF41" s="125" t="str">
        <f>IFERROR(VLOOKUP(JF40,教师安排!$A:$Y,JF$2+1,FALSE),"")</f>
        <v/>
      </c>
      <c r="JG41" s="126" t="str">
        <f>IFERROR(VLOOKUP(JG40,教师安排!$A:$Y,JG$2+1,FALSE),"")</f>
        <v>李会玲</v>
      </c>
      <c r="JH41" s="126" t="str">
        <f>IFERROR(VLOOKUP(JH40,教师安排!$A:$Y,JH$2+1,FALSE),"")</f>
        <v>田凤美</v>
      </c>
      <c r="JI41" s="126" t="str">
        <f>IFERROR(VLOOKUP(JI40,教师安排!$A:$Y,JI$2+1,FALSE),"")</f>
        <v>杨彬</v>
      </c>
      <c r="JJ41" s="126" t="str">
        <f>IFERROR(VLOOKUP(JJ40,教师安排!$A:$Y,JJ$2+1,FALSE),"")</f>
        <v>周兴玲</v>
      </c>
      <c r="JK41" s="126" t="str">
        <f>IFERROR(VLOOKUP(JK40,教师安排!$A:$Y,JK$2+1,FALSE),"")</f>
        <v>张冰雪</v>
      </c>
      <c r="JL41" s="126" t="str">
        <f>IFERROR(VLOOKUP(JL40,教师安排!$A:$Y,JL$2+1,FALSE),"")</f>
        <v>孙存义</v>
      </c>
      <c r="JM41" s="126" t="str">
        <f>IFERROR(VLOOKUP(JM40,教师安排!$A:$Y,JM$2+1,FALSE),"")</f>
        <v>范林林</v>
      </c>
      <c r="JN41" s="126" t="str">
        <f>IFERROR(VLOOKUP(JN40,教师安排!$A:$Y,JN$2+1,FALSE),"")</f>
        <v>高文凤</v>
      </c>
      <c r="JO41" s="126" t="str">
        <f>IFERROR(VLOOKUP(JO40,教师安排!$A:$Y,JO$2+1,FALSE),"")</f>
        <v>刘腾</v>
      </c>
      <c r="JP41" s="126" t="str">
        <f>IFERROR(VLOOKUP(JP40,教师安排!$A:$Y,JP$2+1,FALSE),"")</f>
        <v>蒋心言</v>
      </c>
      <c r="JQ41" s="126" t="str">
        <f>IFERROR(VLOOKUP(JQ40,教师安排!$A:$Y,JQ$2+1,FALSE),"")</f>
        <v>王/宋/翟/胡</v>
      </c>
      <c r="JR41" s="126">
        <f>IFERROR(VLOOKUP(JR40,教师安排!$A:$Y,JR$2+1,FALSE),"")</f>
        <v>0</v>
      </c>
      <c r="JS41" s="126" t="str">
        <f>IFERROR(VLOOKUP(JS40,教师安排!$A:$Y,JS$2+1,FALSE),"")</f>
        <v>宋/韩/王</v>
      </c>
      <c r="JT41" s="126" t="str">
        <f>IFERROR(VLOOKUP(JT40,教师安排!$A:$Y,JT$2+1,FALSE),"")</f>
        <v>翟/韩/王</v>
      </c>
      <c r="JU41" s="126" t="str">
        <f>IFERROR(VLOOKUP(JU40,教师安排!$A:$Y,JU$2+1,FALSE),"")</f>
        <v>胡/韩/王</v>
      </c>
      <c r="JV41" s="126" t="str">
        <f>IFERROR(VLOOKUP(JV40,教师安排!$A:$Y,JV$2+1,FALSE),"")</f>
        <v/>
      </c>
      <c r="JW41" s="126" t="str">
        <f>IFERROR(VLOOKUP(JW40,教师安排!$A:$Y,JW$2+1,FALSE),"")</f>
        <v/>
      </c>
      <c r="JX41" s="126" t="str">
        <f>IFERROR(VLOOKUP(JX40,教师安排!$A:$Y,JX$2+1,FALSE),"")</f>
        <v/>
      </c>
      <c r="JY41" s="126" t="str">
        <f>IFERROR(VLOOKUP(JY40,教师安排!$A:$Y,JY$2+1,FALSE),"")</f>
        <v/>
      </c>
      <c r="JZ41" s="126" t="str">
        <f>IFERROR(VLOOKUP(JZ40,教师安排!$A:$Y,JZ$2+1,FALSE),"")</f>
        <v>王灼</v>
      </c>
      <c r="KA41" s="126" t="str">
        <f>IFERROR(VLOOKUP(KA40,教师安排!$A:$Y,KA$2+1,FALSE),"")</f>
        <v>韩丽梅</v>
      </c>
      <c r="KB41" s="126" t="str">
        <f>IFERROR(VLOOKUP(KB40,教师安排!$A:$Y,KB$2+1,FALSE),"")</f>
        <v>宋平</v>
      </c>
      <c r="KC41" s="126" t="str">
        <f>IFERROR(VLOOKUP(KC40,教师安排!$A:$Y,KC$2+1,FALSE),"")</f>
        <v>翟淑玮</v>
      </c>
      <c r="KD41" s="126" t="str">
        <f>IFERROR(VLOOKUP(KD40,教师安排!$A:$Y,KD$2+1,FALSE),"")</f>
        <v>胡存想</v>
      </c>
    </row>
  </sheetData>
  <protectedRanges>
    <protectedRange password="CF7A" sqref="BW26:DE26" name="区域11"/>
    <protectedRange password="CF7A" sqref="AA4 C4:M4 AD6:AK6 AD4:AK4 AA6 AY4:BB4 CU4:CX4 EQ4:ET4 GM4:GP4 II4:IL4" name="区域12_1"/>
    <protectedRange password="CF7A" sqref="AB6:AC6 AB4:AC4" name="区域12_2"/>
    <protectedRange password="CF7A" sqref="C20:M20" name="区域9_1"/>
    <protectedRange password="CF7A" sqref="AY26:BI26 N26:AK26" name="区域11_1"/>
    <protectedRange sqref="AA30 AA32 AA34 AA36 AA38 AA28:AF28" name="区域10_1_3"/>
    <protectedRange sqref="BW28:CG28" name="区域10_2"/>
    <protectedRange sqref="ER18:FA18" name="区域12_4"/>
  </protectedRanges>
  <mergeCells count="37">
    <mergeCell ref="B40:B41"/>
    <mergeCell ref="A1:Z1"/>
    <mergeCell ref="AA1:AX1"/>
    <mergeCell ref="AY1:BV1"/>
    <mergeCell ref="BW1:CT1"/>
    <mergeCell ref="B30:B31"/>
    <mergeCell ref="B32:B33"/>
    <mergeCell ref="B34:B35"/>
    <mergeCell ref="B36:B37"/>
    <mergeCell ref="B38:B39"/>
    <mergeCell ref="A8:A19"/>
    <mergeCell ref="A20:A31"/>
    <mergeCell ref="A32:A41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A2:B2"/>
    <mergeCell ref="A3:B3"/>
    <mergeCell ref="A4:A7"/>
    <mergeCell ref="CU1:DR1"/>
    <mergeCell ref="DS1:EP1"/>
    <mergeCell ref="EQ1:FN1"/>
    <mergeCell ref="FO1:GL1"/>
    <mergeCell ref="GM1:HJ1"/>
    <mergeCell ref="HK1:IH1"/>
    <mergeCell ref="II1:JF1"/>
    <mergeCell ref="JG1:KD1"/>
  </mergeCells>
  <phoneticPr fontId="17" type="noConversion"/>
  <conditionalFormatting sqref="C5:Z5">
    <cfRule type="duplicateValues" dxfId="243" priority="146"/>
  </conditionalFormatting>
  <conditionalFormatting sqref="C7:Z7">
    <cfRule type="duplicateValues" dxfId="242" priority="145"/>
  </conditionalFormatting>
  <conditionalFormatting sqref="C9:Z9">
    <cfRule type="duplicateValues" dxfId="241" priority="462"/>
  </conditionalFormatting>
  <conditionalFormatting sqref="C11:Z11">
    <cfRule type="duplicateValues" dxfId="240" priority="461"/>
  </conditionalFormatting>
  <conditionalFormatting sqref="C13:Z13">
    <cfRule type="duplicateValues" dxfId="239" priority="294"/>
  </conditionalFormatting>
  <conditionalFormatting sqref="C15:Z15">
    <cfRule type="duplicateValues" dxfId="238" priority="460"/>
  </conditionalFormatting>
  <conditionalFormatting sqref="C17:Z17">
    <cfRule type="duplicateValues" dxfId="237" priority="459"/>
  </conditionalFormatting>
  <conditionalFormatting sqref="C19:Z19">
    <cfRule type="duplicateValues" dxfId="236" priority="458"/>
  </conditionalFormatting>
  <conditionalFormatting sqref="C21:Z21">
    <cfRule type="duplicateValues" dxfId="235" priority="457"/>
  </conditionalFormatting>
  <conditionalFormatting sqref="C23:Z23">
    <cfRule type="duplicateValues" dxfId="234" priority="456"/>
  </conditionalFormatting>
  <conditionalFormatting sqref="C25:Z25">
    <cfRule type="duplicateValues" dxfId="233" priority="455"/>
  </conditionalFormatting>
  <conditionalFormatting sqref="C27:Z27">
    <cfRule type="duplicateValues" dxfId="232" priority="109"/>
  </conditionalFormatting>
  <conditionalFormatting sqref="C29:Z29">
    <cfRule type="duplicateValues" dxfId="231" priority="454"/>
  </conditionalFormatting>
  <conditionalFormatting sqref="C31:Z31">
    <cfRule type="duplicateValues" dxfId="230" priority="204"/>
  </conditionalFormatting>
  <conditionalFormatting sqref="C33:Z33">
    <cfRule type="duplicateValues" dxfId="229" priority="453"/>
  </conditionalFormatting>
  <conditionalFormatting sqref="C35:Z35">
    <cfRule type="duplicateValues" dxfId="228" priority="452"/>
  </conditionalFormatting>
  <conditionalFormatting sqref="C37:Z37">
    <cfRule type="duplicateValues" dxfId="227" priority="451"/>
  </conditionalFormatting>
  <conditionalFormatting sqref="C39:Z39">
    <cfRule type="duplicateValues" dxfId="226" priority="450"/>
  </conditionalFormatting>
  <conditionalFormatting sqref="C41:Z41">
    <cfRule type="duplicateValues" dxfId="225" priority="140"/>
  </conditionalFormatting>
  <conditionalFormatting sqref="AA27:AO27">
    <cfRule type="duplicateValues" dxfId="224" priority="1"/>
  </conditionalFormatting>
  <conditionalFormatting sqref="AA5:AX5">
    <cfRule type="duplicateValues" dxfId="223" priority="144"/>
  </conditionalFormatting>
  <conditionalFormatting sqref="AA7:AX7">
    <cfRule type="duplicateValues" dxfId="222" priority="143"/>
  </conditionalFormatting>
  <conditionalFormatting sqref="AA9:AX9">
    <cfRule type="duplicateValues" dxfId="221" priority="447"/>
  </conditionalFormatting>
  <conditionalFormatting sqref="AA11:AX11">
    <cfRule type="duplicateValues" dxfId="220" priority="446"/>
  </conditionalFormatting>
  <conditionalFormatting sqref="AA13:AX13">
    <cfRule type="duplicateValues" dxfId="219" priority="293"/>
  </conditionalFormatting>
  <conditionalFormatting sqref="AA15:AX15">
    <cfRule type="duplicateValues" dxfId="218" priority="445"/>
  </conditionalFormatting>
  <conditionalFormatting sqref="AA17:AX17">
    <cfRule type="duplicateValues" dxfId="217" priority="444"/>
  </conditionalFormatting>
  <conditionalFormatting sqref="AA19:AX19">
    <cfRule type="duplicateValues" dxfId="216" priority="443"/>
  </conditionalFormatting>
  <conditionalFormatting sqref="AA21:AX21">
    <cfRule type="duplicateValues" dxfId="215" priority="442"/>
  </conditionalFormatting>
  <conditionalFormatting sqref="AA23:AX23">
    <cfRule type="duplicateValues" dxfId="214" priority="441"/>
  </conditionalFormatting>
  <conditionalFormatting sqref="AA25:AX25">
    <cfRule type="duplicateValues" dxfId="213" priority="440"/>
  </conditionalFormatting>
  <conditionalFormatting sqref="AA29:AX29">
    <cfRule type="duplicateValues" dxfId="212" priority="439"/>
  </conditionalFormatting>
  <conditionalFormatting sqref="AA31:AX31">
    <cfRule type="duplicateValues" dxfId="211" priority="203"/>
  </conditionalFormatting>
  <conditionalFormatting sqref="AA33:AX33">
    <cfRule type="duplicateValues" dxfId="210" priority="438"/>
  </conditionalFormatting>
  <conditionalFormatting sqref="AA35:AX35">
    <cfRule type="duplicateValues" dxfId="209" priority="437"/>
  </conditionalFormatting>
  <conditionalFormatting sqref="AA37:AX37">
    <cfRule type="duplicateValues" dxfId="208" priority="436"/>
  </conditionalFormatting>
  <conditionalFormatting sqref="AA39:AX39">
    <cfRule type="duplicateValues" dxfId="207" priority="435"/>
  </conditionalFormatting>
  <conditionalFormatting sqref="AA41:AX41">
    <cfRule type="duplicateValues" dxfId="206" priority="139"/>
  </conditionalFormatting>
  <conditionalFormatting sqref="AP27:AX27">
    <cfRule type="duplicateValues" dxfId="205" priority="108"/>
  </conditionalFormatting>
  <conditionalFormatting sqref="AY13:BL13">
    <cfRule type="duplicateValues" dxfId="204" priority="292"/>
  </conditionalFormatting>
  <conditionalFormatting sqref="AY5:BV5">
    <cfRule type="duplicateValues" dxfId="203" priority="141"/>
  </conditionalFormatting>
  <conditionalFormatting sqref="AY7:BV7">
    <cfRule type="duplicateValues" dxfId="202" priority="142"/>
  </conditionalFormatting>
  <conditionalFormatting sqref="AY9:BV9">
    <cfRule type="duplicateValues" dxfId="201" priority="433"/>
  </conditionalFormatting>
  <conditionalFormatting sqref="AY11:BV11">
    <cfRule type="duplicateValues" dxfId="200" priority="432"/>
  </conditionalFormatting>
  <conditionalFormatting sqref="AY15:BV15">
    <cfRule type="duplicateValues" dxfId="199" priority="431"/>
  </conditionalFormatting>
  <conditionalFormatting sqref="AY17:BV17">
    <cfRule type="duplicateValues" dxfId="198" priority="430"/>
  </conditionalFormatting>
  <conditionalFormatting sqref="AY19:BV19">
    <cfRule type="duplicateValues" dxfId="197" priority="429"/>
  </conditionalFormatting>
  <conditionalFormatting sqref="AY21:BV21">
    <cfRule type="duplicateValues" dxfId="196" priority="428"/>
  </conditionalFormatting>
  <conditionalFormatting sqref="AY23:BV23">
    <cfRule type="duplicateValues" dxfId="195" priority="427"/>
  </conditionalFormatting>
  <conditionalFormatting sqref="AY25:BV25">
    <cfRule type="duplicateValues" dxfId="194" priority="426"/>
  </conditionalFormatting>
  <conditionalFormatting sqref="AY27:BV27">
    <cfRule type="duplicateValues" dxfId="193" priority="107"/>
  </conditionalFormatting>
  <conditionalFormatting sqref="AY29:BV29">
    <cfRule type="duplicateValues" dxfId="192" priority="425"/>
  </conditionalFormatting>
  <conditionalFormatting sqref="AY31:BV31">
    <cfRule type="duplicateValues" dxfId="191" priority="202"/>
  </conditionalFormatting>
  <conditionalFormatting sqref="AY33:BV33">
    <cfRule type="duplicateValues" dxfId="190" priority="424"/>
  </conditionalFormatting>
  <conditionalFormatting sqref="AY35:BV35">
    <cfRule type="duplicateValues" dxfId="189" priority="423"/>
  </conditionalFormatting>
  <conditionalFormatting sqref="AY37:BV37">
    <cfRule type="duplicateValues" dxfId="188" priority="422"/>
  </conditionalFormatting>
  <conditionalFormatting sqref="AY39:BV39">
    <cfRule type="duplicateValues" dxfId="187" priority="421"/>
  </conditionalFormatting>
  <conditionalFormatting sqref="AY41:BV41">
    <cfRule type="duplicateValues" dxfId="186" priority="138"/>
  </conditionalFormatting>
  <conditionalFormatting sqref="BW5:CT5">
    <cfRule type="duplicateValues" dxfId="185" priority="199"/>
  </conditionalFormatting>
  <conditionalFormatting sqref="BW7:CT7">
    <cfRule type="duplicateValues" dxfId="184" priority="201"/>
  </conditionalFormatting>
  <conditionalFormatting sqref="BW9:CT9">
    <cfRule type="duplicateValues" dxfId="183" priority="419"/>
  </conditionalFormatting>
  <conditionalFormatting sqref="BW11:CT11">
    <cfRule type="duplicateValues" dxfId="182" priority="418"/>
  </conditionalFormatting>
  <conditionalFormatting sqref="BW13:CT13">
    <cfRule type="duplicateValues" dxfId="181" priority="291"/>
  </conditionalFormatting>
  <conditionalFormatting sqref="BW15:CT15">
    <cfRule type="duplicateValues" dxfId="180" priority="417"/>
  </conditionalFormatting>
  <conditionalFormatting sqref="BW17:CT17">
    <cfRule type="duplicateValues" dxfId="179" priority="416"/>
  </conditionalFormatting>
  <conditionalFormatting sqref="BW19:CT19">
    <cfRule type="duplicateValues" dxfId="178" priority="415"/>
  </conditionalFormatting>
  <conditionalFormatting sqref="BW21:CT21">
    <cfRule type="duplicateValues" dxfId="177" priority="414"/>
  </conditionalFormatting>
  <conditionalFormatting sqref="BW23:CT23">
    <cfRule type="duplicateValues" dxfId="176" priority="413"/>
  </conditionalFormatting>
  <conditionalFormatting sqref="BW25:CT25">
    <cfRule type="duplicateValues" dxfId="175" priority="412"/>
  </conditionalFormatting>
  <conditionalFormatting sqref="BW27:CT27">
    <cfRule type="duplicateValues" dxfId="174" priority="106"/>
  </conditionalFormatting>
  <conditionalFormatting sqref="BW29:CT29">
    <cfRule type="duplicateValues" dxfId="173" priority="411"/>
  </conditionalFormatting>
  <conditionalFormatting sqref="BW31:CT31">
    <cfRule type="duplicateValues" dxfId="172" priority="200"/>
  </conditionalFormatting>
  <conditionalFormatting sqref="BW33:CT33">
    <cfRule type="duplicateValues" dxfId="171" priority="410"/>
  </conditionalFormatting>
  <conditionalFormatting sqref="BW35:CT35">
    <cfRule type="duplicateValues" dxfId="170" priority="409"/>
  </conditionalFormatting>
  <conditionalFormatting sqref="BW37:CT37">
    <cfRule type="duplicateValues" dxfId="169" priority="408"/>
  </conditionalFormatting>
  <conditionalFormatting sqref="BW39:CT39">
    <cfRule type="duplicateValues" dxfId="168" priority="407"/>
  </conditionalFormatting>
  <conditionalFormatting sqref="BW41:CT41">
    <cfRule type="duplicateValues" dxfId="167" priority="137"/>
  </conditionalFormatting>
  <conditionalFormatting sqref="CU5:DR5">
    <cfRule type="duplicateValues" dxfId="166" priority="195"/>
  </conditionalFormatting>
  <conditionalFormatting sqref="CU7:DR7">
    <cfRule type="duplicateValues" dxfId="165" priority="198"/>
  </conditionalFormatting>
  <conditionalFormatting sqref="CU9:DR9">
    <cfRule type="duplicateValues" dxfId="164" priority="391"/>
  </conditionalFormatting>
  <conditionalFormatting sqref="CU11:DR11">
    <cfRule type="duplicateValues" dxfId="163" priority="390"/>
  </conditionalFormatting>
  <conditionalFormatting sqref="CU13:DR13">
    <cfRule type="duplicateValues" dxfId="162" priority="289"/>
  </conditionalFormatting>
  <conditionalFormatting sqref="CU15:DR15">
    <cfRule type="duplicateValues" dxfId="161" priority="389"/>
  </conditionalFormatting>
  <conditionalFormatting sqref="CU17:DR17">
    <cfRule type="duplicateValues" dxfId="160" priority="388"/>
  </conditionalFormatting>
  <conditionalFormatting sqref="CU19:DR19">
    <cfRule type="duplicateValues" dxfId="159" priority="387"/>
  </conditionalFormatting>
  <conditionalFormatting sqref="CU21:DR21">
    <cfRule type="duplicateValues" dxfId="158" priority="386"/>
  </conditionalFormatting>
  <conditionalFormatting sqref="CU23:DR23">
    <cfRule type="duplicateValues" dxfId="157" priority="385"/>
  </conditionalFormatting>
  <conditionalFormatting sqref="CU25:DR25">
    <cfRule type="duplicateValues" dxfId="156" priority="384"/>
  </conditionalFormatting>
  <conditionalFormatting sqref="CU27:DR27">
    <cfRule type="duplicateValues" dxfId="155" priority="105"/>
  </conditionalFormatting>
  <conditionalFormatting sqref="CU29:DR29">
    <cfRule type="duplicateValues" dxfId="154" priority="383"/>
  </conditionalFormatting>
  <conditionalFormatting sqref="CU31:DR31">
    <cfRule type="duplicateValues" dxfId="153" priority="197"/>
  </conditionalFormatting>
  <conditionalFormatting sqref="CU33:DR33">
    <cfRule type="duplicateValues" dxfId="152" priority="196"/>
  </conditionalFormatting>
  <conditionalFormatting sqref="CU35:DR35">
    <cfRule type="duplicateValues" dxfId="151" priority="381"/>
  </conditionalFormatting>
  <conditionalFormatting sqref="CU37:DR37">
    <cfRule type="duplicateValues" dxfId="150" priority="380"/>
  </conditionalFormatting>
  <conditionalFormatting sqref="CU39:DR39">
    <cfRule type="duplicateValues" dxfId="149" priority="379"/>
  </conditionalFormatting>
  <conditionalFormatting sqref="CU41:DR41">
    <cfRule type="duplicateValues" dxfId="148" priority="136"/>
  </conditionalFormatting>
  <conditionalFormatting sqref="DS5:EP5">
    <cfRule type="duplicateValues" dxfId="147" priority="179"/>
  </conditionalFormatting>
  <conditionalFormatting sqref="DS7:EP7">
    <cfRule type="duplicateValues" dxfId="146" priority="194"/>
  </conditionalFormatting>
  <conditionalFormatting sqref="DS9:EP9">
    <cfRule type="duplicateValues" dxfId="145" priority="193"/>
  </conditionalFormatting>
  <conditionalFormatting sqref="DS11:EP11">
    <cfRule type="duplicateValues" dxfId="144" priority="192"/>
  </conditionalFormatting>
  <conditionalFormatting sqref="DS13:EP13">
    <cfRule type="duplicateValues" dxfId="143" priority="290"/>
  </conditionalFormatting>
  <conditionalFormatting sqref="DS15:EP15">
    <cfRule type="duplicateValues" dxfId="142" priority="191"/>
  </conditionalFormatting>
  <conditionalFormatting sqref="DS17:EP17">
    <cfRule type="duplicateValues" dxfId="141" priority="190"/>
  </conditionalFormatting>
  <conditionalFormatting sqref="DS19:EP19">
    <cfRule type="duplicateValues" dxfId="140" priority="189"/>
  </conditionalFormatting>
  <conditionalFormatting sqref="DS21:EP21">
    <cfRule type="duplicateValues" dxfId="139" priority="188"/>
  </conditionalFormatting>
  <conditionalFormatting sqref="DS23:EP23">
    <cfRule type="duplicateValues" dxfId="138" priority="187"/>
  </conditionalFormatting>
  <conditionalFormatting sqref="DS25:EP25">
    <cfRule type="duplicateValues" dxfId="137" priority="186"/>
  </conditionalFormatting>
  <conditionalFormatting sqref="DS29:EP29">
    <cfRule type="duplicateValues" dxfId="136" priority="185"/>
  </conditionalFormatting>
  <conditionalFormatting sqref="DS31:EP31">
    <cfRule type="duplicateValues" dxfId="135" priority="184"/>
  </conditionalFormatting>
  <conditionalFormatting sqref="DS33:EP33">
    <cfRule type="duplicateValues" dxfId="134" priority="183"/>
  </conditionalFormatting>
  <conditionalFormatting sqref="DS35:EP35">
    <cfRule type="duplicateValues" dxfId="133" priority="182"/>
  </conditionalFormatting>
  <conditionalFormatting sqref="DS37:EP37">
    <cfRule type="duplicateValues" dxfId="132" priority="181"/>
  </conditionalFormatting>
  <conditionalFormatting sqref="DS39:EP39">
    <cfRule type="duplicateValues" dxfId="131" priority="180"/>
  </conditionalFormatting>
  <conditionalFormatting sqref="DS41:EP41">
    <cfRule type="duplicateValues" dxfId="130" priority="130"/>
  </conditionalFormatting>
  <conditionalFormatting sqref="EQ5:FN5">
    <cfRule type="duplicateValues" dxfId="129" priority="163"/>
  </conditionalFormatting>
  <conditionalFormatting sqref="EQ7:FN7">
    <cfRule type="duplicateValues" dxfId="128" priority="176"/>
  </conditionalFormatting>
  <conditionalFormatting sqref="EQ9:FN9">
    <cfRule type="duplicateValues" dxfId="127" priority="178"/>
  </conditionalFormatting>
  <conditionalFormatting sqref="EQ11:FN11">
    <cfRule type="duplicateValues" dxfId="126" priority="177"/>
  </conditionalFormatting>
  <conditionalFormatting sqref="EQ13:FN13">
    <cfRule type="duplicateValues" dxfId="125" priority="288"/>
  </conditionalFormatting>
  <conditionalFormatting sqref="EQ15:FN15">
    <cfRule type="duplicateValues" dxfId="124" priority="175"/>
  </conditionalFormatting>
  <conditionalFormatting sqref="EQ17:FN17">
    <cfRule type="duplicateValues" dxfId="123" priority="174"/>
  </conditionalFormatting>
  <conditionalFormatting sqref="EQ19:FN19">
    <cfRule type="duplicateValues" dxfId="122" priority="173"/>
  </conditionalFormatting>
  <conditionalFormatting sqref="EQ21:FN21">
    <cfRule type="duplicateValues" dxfId="121" priority="172"/>
  </conditionalFormatting>
  <conditionalFormatting sqref="EQ23:FN23">
    <cfRule type="duplicateValues" dxfId="120" priority="171"/>
  </conditionalFormatting>
  <conditionalFormatting sqref="EQ25:FN25">
    <cfRule type="duplicateValues" dxfId="119" priority="170"/>
  </conditionalFormatting>
  <conditionalFormatting sqref="EQ29:FN29">
    <cfRule type="duplicateValues" dxfId="118" priority="169"/>
  </conditionalFormatting>
  <conditionalFormatting sqref="EQ31:FN31">
    <cfRule type="duplicateValues" dxfId="117" priority="168"/>
  </conditionalFormatting>
  <conditionalFormatting sqref="EQ33:FN33">
    <cfRule type="duplicateValues" dxfId="116" priority="167"/>
  </conditionalFormatting>
  <conditionalFormatting sqref="EQ35:FN35">
    <cfRule type="duplicateValues" dxfId="115" priority="166"/>
  </conditionalFormatting>
  <conditionalFormatting sqref="EQ37:FN37">
    <cfRule type="duplicateValues" dxfId="114" priority="165"/>
  </conditionalFormatting>
  <conditionalFormatting sqref="EQ39:FN39">
    <cfRule type="duplicateValues" dxfId="113" priority="164"/>
  </conditionalFormatting>
  <conditionalFormatting sqref="EQ41:FN41">
    <cfRule type="duplicateValues" dxfId="112" priority="129"/>
  </conditionalFormatting>
  <conditionalFormatting sqref="FO5:GL5">
    <cfRule type="duplicateValues" dxfId="111" priority="159"/>
  </conditionalFormatting>
  <conditionalFormatting sqref="FO7:GL7">
    <cfRule type="duplicateValues" dxfId="110" priority="162"/>
  </conditionalFormatting>
  <conditionalFormatting sqref="FO9:GL9">
    <cfRule type="duplicateValues" dxfId="109" priority="128"/>
  </conditionalFormatting>
  <conditionalFormatting sqref="FO11:GL11">
    <cfRule type="duplicateValues" dxfId="108" priority="362"/>
  </conditionalFormatting>
  <conditionalFormatting sqref="FO13:GL13">
    <cfRule type="duplicateValues" dxfId="107" priority="287"/>
  </conditionalFormatting>
  <conditionalFormatting sqref="FO15:GL15">
    <cfRule type="duplicateValues" dxfId="106" priority="361"/>
  </conditionalFormatting>
  <conditionalFormatting sqref="FO17:GL17">
    <cfRule type="duplicateValues" dxfId="105" priority="360"/>
  </conditionalFormatting>
  <conditionalFormatting sqref="FO19:GL19">
    <cfRule type="duplicateValues" dxfId="104" priority="359"/>
  </conditionalFormatting>
  <conditionalFormatting sqref="FO21:GL21">
    <cfRule type="duplicateValues" dxfId="103" priority="358"/>
  </conditionalFormatting>
  <conditionalFormatting sqref="FO23:GL23">
    <cfRule type="duplicateValues" dxfId="102" priority="357"/>
  </conditionalFormatting>
  <conditionalFormatting sqref="FO25:GL25">
    <cfRule type="duplicateValues" dxfId="101" priority="356"/>
  </conditionalFormatting>
  <conditionalFormatting sqref="FO27:GL27">
    <cfRule type="duplicateValues" dxfId="100" priority="104"/>
  </conditionalFormatting>
  <conditionalFormatting sqref="FO29:GL29">
    <cfRule type="duplicateValues" dxfId="99" priority="355"/>
  </conditionalFormatting>
  <conditionalFormatting sqref="FO31:GL31">
    <cfRule type="duplicateValues" dxfId="98" priority="160"/>
  </conditionalFormatting>
  <conditionalFormatting sqref="FO33:GL33">
    <cfRule type="duplicateValues" dxfId="97" priority="354"/>
  </conditionalFormatting>
  <conditionalFormatting sqref="FO35:GL35">
    <cfRule type="duplicateValues" dxfId="96" priority="353"/>
  </conditionalFormatting>
  <conditionalFormatting sqref="FO37:GL37">
    <cfRule type="duplicateValues" dxfId="95" priority="352"/>
  </conditionalFormatting>
  <conditionalFormatting sqref="FO39:GL39">
    <cfRule type="duplicateValues" dxfId="94" priority="351"/>
  </conditionalFormatting>
  <conditionalFormatting sqref="FO41:GL41">
    <cfRule type="duplicateValues" dxfId="93" priority="135"/>
  </conditionalFormatting>
  <conditionalFormatting sqref="GM5:HJ5">
    <cfRule type="duplicateValues" dxfId="92" priority="156"/>
  </conditionalFormatting>
  <conditionalFormatting sqref="GM7:HJ7">
    <cfRule type="duplicateValues" dxfId="91" priority="158"/>
  </conditionalFormatting>
  <conditionalFormatting sqref="GM9:HJ9">
    <cfRule type="duplicateValues" dxfId="90" priority="349"/>
  </conditionalFormatting>
  <conditionalFormatting sqref="GM11:HJ11">
    <cfRule type="duplicateValues" dxfId="89" priority="348"/>
  </conditionalFormatting>
  <conditionalFormatting sqref="GM13:HJ13">
    <cfRule type="duplicateValues" dxfId="88" priority="286"/>
  </conditionalFormatting>
  <conditionalFormatting sqref="GM15:HJ15">
    <cfRule type="duplicateValues" dxfId="87" priority="347"/>
  </conditionalFormatting>
  <conditionalFormatting sqref="GM17:HJ17">
    <cfRule type="duplicateValues" dxfId="86" priority="346"/>
  </conditionalFormatting>
  <conditionalFormatting sqref="GM19:HJ19">
    <cfRule type="duplicateValues" dxfId="85" priority="345"/>
  </conditionalFormatting>
  <conditionalFormatting sqref="GM21:HJ21">
    <cfRule type="duplicateValues" dxfId="84" priority="344"/>
  </conditionalFormatting>
  <conditionalFormatting sqref="GM23:HJ23">
    <cfRule type="duplicateValues" dxfId="83" priority="343"/>
  </conditionalFormatting>
  <conditionalFormatting sqref="GM25:HJ25">
    <cfRule type="duplicateValues" dxfId="82" priority="342"/>
  </conditionalFormatting>
  <conditionalFormatting sqref="GM27:HJ27">
    <cfRule type="duplicateValues" dxfId="81" priority="103"/>
  </conditionalFormatting>
  <conditionalFormatting sqref="GM29:HJ29">
    <cfRule type="duplicateValues" dxfId="80" priority="341"/>
  </conditionalFormatting>
  <conditionalFormatting sqref="GM31:HJ31">
    <cfRule type="duplicateValues" dxfId="79" priority="157"/>
  </conditionalFormatting>
  <conditionalFormatting sqref="GM33:HJ33">
    <cfRule type="duplicateValues" dxfId="78" priority="340"/>
  </conditionalFormatting>
  <conditionalFormatting sqref="GM35:HJ35">
    <cfRule type="duplicateValues" dxfId="77" priority="339"/>
  </conditionalFormatting>
  <conditionalFormatting sqref="GM37:HJ37">
    <cfRule type="duplicateValues" dxfId="76" priority="338"/>
  </conditionalFormatting>
  <conditionalFormatting sqref="GM39:HJ39">
    <cfRule type="duplicateValues" dxfId="75" priority="337"/>
  </conditionalFormatting>
  <conditionalFormatting sqref="GM41:HJ41">
    <cfRule type="duplicateValues" dxfId="74" priority="134"/>
  </conditionalFormatting>
  <conditionalFormatting sqref="HK5:IH5">
    <cfRule type="duplicateValues" dxfId="73" priority="153"/>
  </conditionalFormatting>
  <conditionalFormatting sqref="HK7:IH7">
    <cfRule type="duplicateValues" dxfId="72" priority="155"/>
  </conditionalFormatting>
  <conditionalFormatting sqref="HK9:IH9">
    <cfRule type="duplicateValues" dxfId="71" priority="335"/>
  </conditionalFormatting>
  <conditionalFormatting sqref="HK11:IH11">
    <cfRule type="duplicateValues" dxfId="70" priority="334"/>
  </conditionalFormatting>
  <conditionalFormatting sqref="HK13:IH13">
    <cfRule type="duplicateValues" dxfId="69" priority="285"/>
  </conditionalFormatting>
  <conditionalFormatting sqref="HK15:IH15">
    <cfRule type="duplicateValues" dxfId="68" priority="333"/>
  </conditionalFormatting>
  <conditionalFormatting sqref="HK17:IH17">
    <cfRule type="duplicateValues" dxfId="67" priority="332"/>
  </conditionalFormatting>
  <conditionalFormatting sqref="HK19:IH19">
    <cfRule type="duplicateValues" dxfId="66" priority="331"/>
  </conditionalFormatting>
  <conditionalFormatting sqref="HK21:IH21">
    <cfRule type="duplicateValues" dxfId="65" priority="330"/>
  </conditionalFormatting>
  <conditionalFormatting sqref="HK23:IH23">
    <cfRule type="duplicateValues" dxfId="64" priority="329"/>
  </conditionalFormatting>
  <conditionalFormatting sqref="HK25:IH25">
    <cfRule type="duplicateValues" dxfId="63" priority="328"/>
  </conditionalFormatting>
  <conditionalFormatting sqref="HK29:IH29">
    <cfRule type="duplicateValues" dxfId="62" priority="327"/>
  </conditionalFormatting>
  <conditionalFormatting sqref="HK31:IH31">
    <cfRule type="duplicateValues" dxfId="61" priority="154"/>
  </conditionalFormatting>
  <conditionalFormatting sqref="HK33:IH33">
    <cfRule type="duplicateValues" dxfId="60" priority="326"/>
  </conditionalFormatting>
  <conditionalFormatting sqref="HK35:IH35">
    <cfRule type="duplicateValues" dxfId="59" priority="325"/>
  </conditionalFormatting>
  <conditionalFormatting sqref="HK37:IH37">
    <cfRule type="duplicateValues" dxfId="58" priority="324"/>
  </conditionalFormatting>
  <conditionalFormatting sqref="HK39:IH39">
    <cfRule type="duplicateValues" dxfId="57" priority="323"/>
  </conditionalFormatting>
  <conditionalFormatting sqref="HK41:IH41">
    <cfRule type="duplicateValues" dxfId="56" priority="133"/>
  </conditionalFormatting>
  <conditionalFormatting sqref="HL27:HV27 HX27:IH27">
    <cfRule type="duplicateValues" dxfId="55" priority="102"/>
  </conditionalFormatting>
  <conditionalFormatting sqref="HW27">
    <cfRule type="duplicateValues" dxfId="54" priority="79"/>
  </conditionalFormatting>
  <conditionalFormatting sqref="II5:JF5">
    <cfRule type="duplicateValues" dxfId="53" priority="150"/>
  </conditionalFormatting>
  <conditionalFormatting sqref="II7:JF7">
    <cfRule type="duplicateValues" dxfId="52" priority="152"/>
  </conditionalFormatting>
  <conditionalFormatting sqref="II9:JF9">
    <cfRule type="duplicateValues" dxfId="51" priority="321"/>
  </conditionalFormatting>
  <conditionalFormatting sqref="II11:JF11">
    <cfRule type="duplicateValues" dxfId="50" priority="320"/>
  </conditionalFormatting>
  <conditionalFormatting sqref="II13:JF13">
    <cfRule type="duplicateValues" dxfId="49" priority="284"/>
  </conditionalFormatting>
  <conditionalFormatting sqref="II15:JF15">
    <cfRule type="duplicateValues" dxfId="48" priority="319"/>
  </conditionalFormatting>
  <conditionalFormatting sqref="II17:JF17">
    <cfRule type="duplicateValues" dxfId="47" priority="318"/>
  </conditionalFormatting>
  <conditionalFormatting sqref="II19:JF19">
    <cfRule type="duplicateValues" dxfId="46" priority="317"/>
  </conditionalFormatting>
  <conditionalFormatting sqref="II21:JF21">
    <cfRule type="duplicateValues" dxfId="45" priority="316"/>
  </conditionalFormatting>
  <conditionalFormatting sqref="II23:JF23">
    <cfRule type="duplicateValues" dxfId="44" priority="315"/>
  </conditionalFormatting>
  <conditionalFormatting sqref="II25:JF25">
    <cfRule type="duplicateValues" dxfId="43" priority="314"/>
  </conditionalFormatting>
  <conditionalFormatting sqref="II27:JF27">
    <cfRule type="duplicateValues" dxfId="42" priority="101"/>
  </conditionalFormatting>
  <conditionalFormatting sqref="II29:JF29">
    <cfRule type="duplicateValues" dxfId="41" priority="313"/>
  </conditionalFormatting>
  <conditionalFormatting sqref="II31:JF31">
    <cfRule type="duplicateValues" dxfId="40" priority="151"/>
  </conditionalFormatting>
  <conditionalFormatting sqref="II33:JF33">
    <cfRule type="duplicateValues" dxfId="39" priority="312"/>
  </conditionalFormatting>
  <conditionalFormatting sqref="II35:JF35">
    <cfRule type="duplicateValues" dxfId="38" priority="311"/>
  </conditionalFormatting>
  <conditionalFormatting sqref="II37:JF37">
    <cfRule type="duplicateValues" dxfId="37" priority="310"/>
  </conditionalFormatting>
  <conditionalFormatting sqref="II39:JF39">
    <cfRule type="duplicateValues" dxfId="36" priority="309"/>
  </conditionalFormatting>
  <conditionalFormatting sqref="II41:JF41">
    <cfRule type="duplicateValues" dxfId="35" priority="132"/>
  </conditionalFormatting>
  <conditionalFormatting sqref="JG33:JH33 JJ33:KD33">
    <cfRule type="duplicateValues" dxfId="34" priority="298"/>
  </conditionalFormatting>
  <conditionalFormatting sqref="JG13:JU13">
    <cfRule type="duplicateValues" dxfId="33" priority="283"/>
  </conditionalFormatting>
  <conditionalFormatting sqref="JG21:JU21">
    <cfRule type="duplicateValues" dxfId="32" priority="302"/>
  </conditionalFormatting>
  <conditionalFormatting sqref="JG5:KD5">
    <cfRule type="duplicateValues" dxfId="31" priority="147"/>
  </conditionalFormatting>
  <conditionalFormatting sqref="JG7:KD7">
    <cfRule type="duplicateValues" dxfId="30" priority="149"/>
  </conditionalFormatting>
  <conditionalFormatting sqref="JG9:KD9">
    <cfRule type="duplicateValues" dxfId="29" priority="307"/>
  </conditionalFormatting>
  <conditionalFormatting sqref="JG11:KD11">
    <cfRule type="duplicateValues" dxfId="28" priority="306"/>
  </conditionalFormatting>
  <conditionalFormatting sqref="JG15:KD15">
    <cfRule type="duplicateValues" dxfId="27" priority="305"/>
  </conditionalFormatting>
  <conditionalFormatting sqref="JG17:KD17">
    <cfRule type="duplicateValues" dxfId="26" priority="304"/>
  </conditionalFormatting>
  <conditionalFormatting sqref="JG19:KD19">
    <cfRule type="duplicateValues" dxfId="25" priority="303"/>
  </conditionalFormatting>
  <conditionalFormatting sqref="JG23:KD23">
    <cfRule type="duplicateValues" dxfId="24" priority="301"/>
  </conditionalFormatting>
  <conditionalFormatting sqref="JG25:KD25">
    <cfRule type="duplicateValues" dxfId="23" priority="300"/>
  </conditionalFormatting>
  <conditionalFormatting sqref="JG27:KD27">
    <cfRule type="duplicateValues" dxfId="22" priority="100"/>
  </conditionalFormatting>
  <conditionalFormatting sqref="JG29:KD29">
    <cfRule type="duplicateValues" dxfId="21" priority="299"/>
  </conditionalFormatting>
  <conditionalFormatting sqref="JG31:KD31">
    <cfRule type="duplicateValues" dxfId="20" priority="148"/>
  </conditionalFormatting>
  <conditionalFormatting sqref="JG35:KD35">
    <cfRule type="duplicateValues" dxfId="19" priority="297"/>
  </conditionalFormatting>
  <conditionalFormatting sqref="JG37:KD37">
    <cfRule type="duplicateValues" dxfId="18" priority="296"/>
  </conditionalFormatting>
  <conditionalFormatting sqref="JG39:KD39">
    <cfRule type="duplicateValues" dxfId="17" priority="295"/>
  </conditionalFormatting>
  <conditionalFormatting sqref="JG41:KD41">
    <cfRule type="duplicateValues" dxfId="16" priority="131"/>
  </conditionalFormatting>
  <conditionalFormatting sqref="JI33">
    <cfRule type="duplicateValues" dxfId="15" priority="78"/>
  </conditionalFormatting>
  <conditionalFormatting sqref="JV13:JZ13">
    <cfRule type="duplicateValues" dxfId="14" priority="86"/>
  </conditionalFormatting>
  <conditionalFormatting sqref="JV21:JZ21">
    <cfRule type="duplicateValues" dxfId="13" priority="94"/>
  </conditionalFormatting>
  <conditionalFormatting sqref="KA13">
    <cfRule type="duplicateValues" dxfId="12" priority="5"/>
  </conditionalFormatting>
  <conditionalFormatting sqref="KA21">
    <cfRule type="duplicateValues" dxfId="11" priority="9"/>
  </conditionalFormatting>
  <conditionalFormatting sqref="KB13">
    <cfRule type="duplicateValues" dxfId="10" priority="4"/>
  </conditionalFormatting>
  <conditionalFormatting sqref="KB21">
    <cfRule type="duplicateValues" dxfId="9" priority="8"/>
  </conditionalFormatting>
  <conditionalFormatting sqref="KC13">
    <cfRule type="duplicateValues" dxfId="8" priority="3"/>
  </conditionalFormatting>
  <conditionalFormatting sqref="KC21">
    <cfRule type="duplicateValues" dxfId="7" priority="7"/>
  </conditionalFormatting>
  <conditionalFormatting sqref="KD13">
    <cfRule type="duplicateValues" dxfId="6" priority="2"/>
  </conditionalFormatting>
  <conditionalFormatting sqref="KD21">
    <cfRule type="duplicateValues" dxfId="5" priority="6"/>
  </conditionalFormatting>
  <dataValidations count="1">
    <dataValidation allowBlank="1" showInputMessage="1" showErrorMessage="1" sqref="C5:KD5 C7:HS7 HT7:HU7 HV7:KD7 DS9:FN9 DS11:FN11 C13:Q13 V13:BL13 BN13:JU13 C15:KD15 DS17:FN17 DS19:FN19 DJ21:FE21 DS23:FN23 DS25:FN25 DS29:FN29 DS31:FN31 C33:CT33 DS33:KD33 C35:KD35 C37:KD37 C39:KD39 C41:KD41" xr:uid="{00000000-0002-0000-0100-000001000000}"/>
  </dataValidations>
  <pageMargins left="1.8263888888888899" right="0.5" top="0.35" bottom="0.18888888888888899" header="0.27916666666666701" footer="0.16875000000000001"/>
  <pageSetup paperSize="9" scale="84" orientation="landscape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教师安排!$A$3:$A$68</xm:f>
          </x14:formula1>
          <xm:sqref>C4:KD4 C6:KD6 C8:KD8 C10:KD10 C12:JY12 JV13:JY13 C14:KD14 C16:KD16 C18:KD18 C20:JY20 R21:U21 JV21:JY21 C22:KD22 C24:KD24 R26:U26 JV26:JY26 C28:KD28 C30:KD30 C32:KD32 C34:KD34 C36:KD36 C38:KD38 C40:KD40</xm:sqref>
        </x14:dataValidation>
        <x14:dataValidation type="list" allowBlank="1" showInputMessage="1" showErrorMessage="1" xr:uid="{00000000-0002-0000-0100-000002000000}">
          <x14:formula1>
            <xm:f>教师安排!$A$3:$A$60</xm:f>
          </x14:formula1>
          <xm:sqref>C26:Q26 V26:JU26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70"/>
  <sheetViews>
    <sheetView workbookViewId="0">
      <selection activeCell="D43" sqref="D43"/>
    </sheetView>
  </sheetViews>
  <sheetFormatPr defaultColWidth="9" defaultRowHeight="30" customHeight="1" x14ac:dyDescent="0.4"/>
  <cols>
    <col min="1" max="1" width="5.625" style="10" customWidth="1"/>
    <col min="2" max="2" width="6.8125" style="10" customWidth="1"/>
    <col min="3" max="3" width="13.75" style="10" customWidth="1"/>
    <col min="4" max="8" width="8.875" style="10" customWidth="1"/>
    <col min="9" max="9" width="8.625" style="11" customWidth="1"/>
    <col min="10" max="14" width="8.875" style="10" customWidth="1"/>
    <col min="15" max="15" width="9.125" style="10" customWidth="1"/>
    <col min="16" max="16384" width="9" style="10"/>
  </cols>
  <sheetData>
    <row r="1" spans="1:17" ht="60" customHeight="1" x14ac:dyDescent="0.4">
      <c r="A1" s="152" t="str">
        <f>"2026年春季学期"&amp;VLOOKUP($P$1,A43:D70,COLUMN(B43),0)&amp;"课表"</f>
        <v>2026年春季学期高一英语（1）班课表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9" t="s">
        <v>17</v>
      </c>
    </row>
    <row r="2" spans="1:17" ht="50" customHeight="1" x14ac:dyDescent="0.4">
      <c r="A2" s="153" t="s">
        <v>170</v>
      </c>
      <c r="B2" s="154"/>
      <c r="C2" s="12" t="s">
        <v>171</v>
      </c>
      <c r="D2" s="13" t="s">
        <v>172</v>
      </c>
      <c r="E2" s="14" t="s">
        <v>173</v>
      </c>
      <c r="F2" s="14" t="s">
        <v>174</v>
      </c>
      <c r="G2" s="14" t="s">
        <v>175</v>
      </c>
      <c r="H2" s="15" t="s">
        <v>176</v>
      </c>
      <c r="I2" s="13" t="s">
        <v>177</v>
      </c>
      <c r="J2" s="15" t="s">
        <v>178</v>
      </c>
      <c r="K2" s="13" t="s">
        <v>172</v>
      </c>
      <c r="L2" s="14" t="s">
        <v>173</v>
      </c>
      <c r="M2" s="14" t="s">
        <v>174</v>
      </c>
      <c r="N2" s="14" t="s">
        <v>175</v>
      </c>
      <c r="O2" s="15" t="s">
        <v>176</v>
      </c>
    </row>
    <row r="3" spans="1:17" ht="28.05" customHeight="1" x14ac:dyDescent="0.4">
      <c r="A3" s="155" t="s">
        <v>157</v>
      </c>
      <c r="B3" s="167" t="s">
        <v>158</v>
      </c>
      <c r="C3" s="186" t="s">
        <v>179</v>
      </c>
      <c r="D3" s="16" t="str">
        <f>IF(HLOOKUP(MATCH($P$1,总课表!$C$3:$Z$3,0),总课表!$C$2:$Z$42,ROW(),0)=0,"",(HLOOKUP(MATCH($P$1,总课表!$C$3:$Z$3,0),总课表!$C$2:$Z$42,ROW(),0)))</f>
        <v/>
      </c>
      <c r="E3" s="17" t="str">
        <f>IF(HLOOKUP(MATCH($P$1,总课表!$AA$3:$AX$3,0),总课表!$AA$2:$AX$42,ROW(),0)=0,"",(HLOOKUP(MATCH($P$1,总课表!$AA$3:$AX$3,0),总课表!$AA$2:$AX$42,ROW(),0)))</f>
        <v/>
      </c>
      <c r="F3" s="17" t="str">
        <f>IF(HLOOKUP(MATCH($P$1,总课表!$AY$3:$BV$3,0),总课表!$AY$2:$BV$42,ROW(),0)=0,"",(HLOOKUP(MATCH($P$1,总课表!$AY$3:$BV$3,0),总课表!$AY$2:$BV$42,ROW(),0)))</f>
        <v/>
      </c>
      <c r="G3" s="17" t="str">
        <f>IF(HLOOKUP(MATCH($P$1,总课表!$BW$3:$CV$3,0),总课表!$BW$2:$CV$42,ROW(),0)=0,"",(HLOOKUP(MATCH($P$1,总课表!$BW$3:$CV$3,0),总课表!$BW$2:$CV$42,ROW(),0)))</f>
        <v/>
      </c>
      <c r="H3" s="18" t="str">
        <f>IF(HLOOKUP(MATCH($P$1,总课表!$CU$3:$DR$3,0),总课表!$CU$2:$DR$42,ROW(),0)=0,"",(HLOOKUP(MATCH($P$1,总课表!$CU$3:$DR$3,0),总课表!$CU$2:$DR$42,ROW(),0)))</f>
        <v/>
      </c>
      <c r="I3" s="19" t="str">
        <f>IF(HLOOKUP(MATCH($P$1,总课表!$DS$3:$EP$3,0),总课表!$DS$2:$EP$42,ROW(),0)=0,"",(HLOOKUP(MATCH($P$1,总课表!$DS$3:$EP$3,0),总课表!$DS$2:$EP$42,ROW(),0)))</f>
        <v/>
      </c>
      <c r="J3" s="18" t="str">
        <f>IF(HLOOKUP(MATCH($P$1,总课表!$EQ$3:$FN$3,0),总课表!$EQ$2:$FN$42,ROW(),0)=0,"",(HLOOKUP(MATCH($P$1,总课表!$EQ$3:$FN$3,0),总课表!$EQ$2:$FN$42,ROW(),0)))</f>
        <v/>
      </c>
      <c r="K3" s="16" t="str">
        <f>IF(HLOOKUP(MATCH($P$1,总课表!$FO$3:$GL$3,0),总课表!$FO$2:$GL$42,ROW(),0)=0,"",(HLOOKUP(MATCH($P$1,总课表!$FO$3:$GL$3,0),总课表!$FO$2:$GL$42,ROW(),0)))</f>
        <v/>
      </c>
      <c r="L3" s="17" t="str">
        <f>IF(HLOOKUP(MATCH($P$1,总课表!$GM$3:$HJ$3,0),总课表!$GM$2:$HJ$42,ROW(),0)=0,"",(HLOOKUP(MATCH($P$1,总课表!$GM$3:$HJ$3,0),总课表!$GM$2:$HJ$42,ROW(),0)))</f>
        <v/>
      </c>
      <c r="M3" s="17" t="str">
        <f>IF(HLOOKUP(MATCH($P$1,总课表!$HK$3:$IH$3,0),总课表!$HK$2:$IH$42,ROW(),0)=0,"",(HLOOKUP(MATCH($P$1,总课表!$HK$3:$IH$3,0),总课表!$HK$2:$IH$42,ROW(),0)))</f>
        <v/>
      </c>
      <c r="N3" s="17" t="str">
        <f>IF(HLOOKUP(MATCH($P$1,总课表!$II$3:$JF$3,0),总课表!$II$2:$JF$42,ROW(),0)=0,"",(HLOOKUP(MATCH($P$1,总课表!$II$3:$JF$3,0),总课表!$II$2:$JF$42,ROW(),0)))</f>
        <v/>
      </c>
      <c r="O3" s="18" t="str">
        <f>IF(HLOOKUP(MATCH($P$1,总课表!$JG$3:$KD$3,0),总课表!$JG$2:$KD$42,ROW(),0)=0,"",(HLOOKUP(MATCH($P$1,总课表!$JG$3:$KD$3,0),总课表!$JG$2:$KD$42,ROW(),0)))</f>
        <v/>
      </c>
    </row>
    <row r="4" spans="1:17" ht="28.05" customHeight="1" x14ac:dyDescent="0.4">
      <c r="A4" s="156"/>
      <c r="B4" s="168"/>
      <c r="C4" s="187"/>
      <c r="D4" s="20" t="str">
        <f>IF(HLOOKUP(MATCH($P$1,总课表!$C$3:$Z$3,0),总课表!$C$2:$Z$42,ROW(),0)=0,"",(HLOOKUP(MATCH($P$1,总课表!$C$3:$Z$3,0),总课表!$C$2:$Z$42,ROW(),0)))</f>
        <v/>
      </c>
      <c r="E4" s="21" t="str">
        <f>IF(HLOOKUP(MATCH($P$1,总课表!$AA$3:$AX$3,0),总课表!$AA$2:$AX$42,ROW(),0)=0,"",(HLOOKUP(MATCH($P$1,总课表!$AA$3:$AX$3,0),总课表!$AA$2:$AX$42,ROW(),0)))</f>
        <v/>
      </c>
      <c r="F4" s="21" t="str">
        <f>IF(HLOOKUP(MATCH($P$1,总课表!$AY$3:$BV$3,0),总课表!$AY$2:$BV$42,ROW(),0)=0,"",(HLOOKUP(MATCH($P$1,总课表!$AY$3:$BV$3,0),总课表!$AY$2:$BV$42,ROW(),0)))</f>
        <v/>
      </c>
      <c r="G4" s="21" t="str">
        <f>IF(HLOOKUP(MATCH($P$1,总课表!$BW$3:$CV$3,0),总课表!$BW$2:$CV$42,ROW(),0)=0,"",(HLOOKUP(MATCH($P$1,总课表!$BW$3:$CV$3,0),总课表!$BW$2:$CV$42,ROW(),0)))</f>
        <v/>
      </c>
      <c r="H4" s="22" t="str">
        <f>IF(HLOOKUP(MATCH($P$1,总课表!$CU$3:$DR$3,0),总课表!$CU$2:$DR$42,ROW(),0)=0,"",(HLOOKUP(MATCH($P$1,总课表!$CU$3:$DR$3,0),总课表!$CU$2:$DR$42,ROW(),0)))</f>
        <v/>
      </c>
      <c r="I4" s="23" t="str">
        <f>IF(HLOOKUP(MATCH($P$1,总课表!$DS$3:$EP$3,0),总课表!$DS$2:$EP$42,ROW(),0)=0,"",(HLOOKUP(MATCH($P$1,总课表!$DS$3:$EP$3,0),总课表!$DS$2:$EP$42,ROW(),0)))</f>
        <v/>
      </c>
      <c r="J4" s="22" t="str">
        <f>IF(HLOOKUP(MATCH($P$1,总课表!$EQ$3:$FN$3,0),总课表!$EQ$2:$FN$42,ROW(),0)=0,"",(HLOOKUP(MATCH($P$1,总课表!$EQ$3:$FN$3,0),总课表!$EQ$2:$FN$42,ROW(),0)))</f>
        <v/>
      </c>
      <c r="K4" s="23" t="str">
        <f>IF(HLOOKUP(MATCH($P$1,总课表!$FO$3:$GL$3,0),总课表!$FO$2:$GL$42,ROW(),0)=0,"",(HLOOKUP(MATCH($P$1,总课表!$FO$3:$GL$3,0),总课表!$FO$2:$GL$42,ROW(),0)))</f>
        <v/>
      </c>
      <c r="L4" s="21" t="str">
        <f>IF(HLOOKUP(MATCH($P$1,总课表!$GM$3:$HJ$3,0),总课表!$GM$2:$HJ$42,ROW(),0)=0,"",(HLOOKUP(MATCH($P$1,总课表!$GM$3:$HJ$3,0),总课表!$GM$2:$HJ$42,ROW(),0)))</f>
        <v/>
      </c>
      <c r="M4" s="21" t="str">
        <f>IF(HLOOKUP(MATCH($P$1,总课表!$HK$3:$IH$3,0),总课表!$HK$2:$IH$42,ROW(),0)=0,"",(HLOOKUP(MATCH($P$1,总课表!$HK$3:$IH$3,0),总课表!$HK$2:$IH$42,ROW(),0)))</f>
        <v/>
      </c>
      <c r="N4" s="21" t="str">
        <f>IF(HLOOKUP(MATCH($P$1,总课表!$II$3:$JF$3,0),总课表!$II$2:$JF$42,ROW(),0)=0,"",(HLOOKUP(MATCH($P$1,总课表!$II$3:$JF$3,0),总课表!$II$2:$JF$42,ROW(),0)))</f>
        <v/>
      </c>
      <c r="O4" s="22" t="str">
        <f>IF(HLOOKUP(MATCH($P$1,总课表!$JG$3:$KD$3,0),总课表!$JG$2:$KD$42,ROW(),0)=0,"",(HLOOKUP(MATCH($P$1,总课表!$JG$3:$KD$3,0),总课表!$JG$2:$KD$42,ROW(),0)))</f>
        <v/>
      </c>
    </row>
    <row r="5" spans="1:17" ht="28.05" customHeight="1" x14ac:dyDescent="0.4">
      <c r="A5" s="156"/>
      <c r="B5" s="167" t="s">
        <v>159</v>
      </c>
      <c r="C5" s="188" t="s">
        <v>180</v>
      </c>
      <c r="D5" s="16" t="str">
        <f>IF(HLOOKUP(MATCH($P$1,总课表!$C$3:$Z$3,0),总课表!$C$2:$Z$42,ROW(),0)=0,"",(HLOOKUP(MATCH($P$1,总课表!$C$3:$Z$3,0),总课表!$C$2:$Z$42,ROW(),0)))</f>
        <v/>
      </c>
      <c r="E5" s="17" t="str">
        <f>IF(HLOOKUP(MATCH($P$1,总课表!$AA$3:$AX$3,0),总课表!$AA$2:$AX$42,ROW(),0)=0,"",(HLOOKUP(MATCH($P$1,总课表!$AA$3:$AX$3,0),总课表!$AA$2:$AX$42,ROW(),0)))</f>
        <v>英语</v>
      </c>
      <c r="F5" s="17" t="str">
        <f>IF(HLOOKUP(MATCH($P$1,总课表!$AY$3:$BV$3,0),总课表!$AY$2:$BV$42,ROW(),0)=0,"",(HLOOKUP(MATCH($P$1,总课表!$AY$3:$BV$3,0),总课表!$AY$2:$BV$42,ROW(),0)))</f>
        <v/>
      </c>
      <c r="G5" s="17" t="str">
        <f>IF(HLOOKUP(MATCH($P$1,总课表!$BW$3:$CV$3,0),总课表!$BW$2:$CV$42,ROW(),0)=0,"",(HLOOKUP(MATCH($P$1,总课表!$BW$3:$CV$3,0),总课表!$BW$2:$CV$42,ROW(),0)))</f>
        <v/>
      </c>
      <c r="H5" s="18" t="str">
        <f>IF(HLOOKUP(MATCH($P$1,总课表!$CU$3:$DR$3,0),总课表!$CU$2:$DR$42,ROW(),0)=0,"",(HLOOKUP(MATCH($P$1,总课表!$CU$3:$DR$3,0),总课表!$CU$2:$DR$42,ROW(),0)))</f>
        <v>英语</v>
      </c>
      <c r="I5" s="19" t="str">
        <f>IF(HLOOKUP(MATCH($P$1,总课表!$DS$3:$EP$3,0),总课表!$DS$2:$EP$42,ROW(),0)=0,"",(HLOOKUP(MATCH($P$1,总课表!$DS$3:$EP$3,0),总课表!$DS$2:$EP$42,ROW(),0)))</f>
        <v/>
      </c>
      <c r="J5" s="18" t="str">
        <f>IF(HLOOKUP(MATCH($P$1,总课表!$EQ$3:$FN$3,0),总课表!$EQ$2:$FN$42,ROW(),0)=0,"",(HLOOKUP(MATCH($P$1,总课表!$EQ$3:$FN$3,0),总课表!$EQ$2:$FN$42,ROW(),0)))</f>
        <v/>
      </c>
      <c r="K5" s="16" t="str">
        <f>IF(HLOOKUP(MATCH($P$1,总课表!$FO$3:$GL$3,0),总课表!$FO$2:$GL$42,ROW(),0)=0,"",(HLOOKUP(MATCH($P$1,总课表!$FO$3:$GL$3,0),总课表!$FO$2:$GL$42,ROW(),0)))</f>
        <v>英语</v>
      </c>
      <c r="L5" s="17" t="str">
        <f>IF(HLOOKUP(MATCH($P$1,总课表!$GM$3:$HJ$3,0),总课表!$GM$2:$HJ$42,ROW(),0)=0,"",(HLOOKUP(MATCH($P$1,总课表!$GM$3:$HJ$3,0),总课表!$GM$2:$HJ$42,ROW(),0)))</f>
        <v/>
      </c>
      <c r="M5" s="17" t="str">
        <f>IF(HLOOKUP(MATCH($P$1,总课表!$HK$3:$IH$3,0),总课表!$HK$2:$IH$42,ROW(),0)=0,"",(HLOOKUP(MATCH($P$1,总课表!$HK$3:$IH$3,0),总课表!$HK$2:$IH$42,ROW(),0)))</f>
        <v/>
      </c>
      <c r="N5" s="17" t="str">
        <f>IF(HLOOKUP(MATCH($P$1,总课表!$II$3:$JF$3,0),总课表!$II$2:$JF$42,ROW(),0)=0,"",(HLOOKUP(MATCH($P$1,总课表!$II$3:$JF$3,0),总课表!$II$2:$JF$42,ROW(),0)))</f>
        <v/>
      </c>
      <c r="O5" s="18" t="str">
        <f>IF(HLOOKUP(MATCH($P$1,总课表!$JG$3:$KD$3,0),总课表!$JG$2:$KD$42,ROW(),0)=0,"",(HLOOKUP(MATCH($P$1,总课表!$JG$3:$KD$3,0),总课表!$JG$2:$KD$42,ROW(),0)))</f>
        <v>英语</v>
      </c>
    </row>
    <row r="6" spans="1:17" ht="28.05" customHeight="1" x14ac:dyDescent="0.4">
      <c r="A6" s="157"/>
      <c r="B6" s="168"/>
      <c r="C6" s="189"/>
      <c r="D6" s="24" t="str">
        <f>IF(HLOOKUP(MATCH($P$1,总课表!$C$3:$Z$3,0),总课表!$C$2:$Z$42,ROW(),0)=0,"",(HLOOKUP(MATCH($P$1,总课表!$C$3:$Z$3,0),总课表!$C$2:$Z$42,ROW(),0)))</f>
        <v/>
      </c>
      <c r="E6" s="25" t="str">
        <f>IF(HLOOKUP(MATCH($P$1,总课表!$AA$3:$AX$3,0),总课表!$AA$2:$AX$42,ROW(),0)=0,"",(HLOOKUP(MATCH($P$1,总课表!$AA$3:$AX$3,0),总课表!$AA$2:$AX$42,ROW(),0)))</f>
        <v>岳海霞</v>
      </c>
      <c r="F6" s="25" t="str">
        <f>IF(HLOOKUP(MATCH($P$1,总课表!$AY$3:$BV$3,0),总课表!$AY$2:$BV$42,ROW(),0)=0,"",(HLOOKUP(MATCH($P$1,总课表!$AY$3:$BV$3,0),总课表!$AY$2:$BV$42,ROW(),0)))</f>
        <v/>
      </c>
      <c r="G6" s="25" t="str">
        <f>IF(HLOOKUP(MATCH($P$1,总课表!$BW$3:$CV$3,0),总课表!$BW$2:$CV$42,ROW(),0)=0,"",(HLOOKUP(MATCH($P$1,总课表!$BW$3:$CV$3,0),总课表!$BW$2:$CV$42,ROW(),0)))</f>
        <v/>
      </c>
      <c r="H6" s="26" t="str">
        <f>IF(HLOOKUP(MATCH($P$1,总课表!$CU$3:$DR$3,0),总课表!$CU$2:$DR$42,ROW(),0)=0,"",(HLOOKUP(MATCH($P$1,总课表!$CU$3:$DR$3,0),总课表!$CU$2:$DR$42,ROW(),0)))</f>
        <v>岳海霞</v>
      </c>
      <c r="I6" s="24" t="str">
        <f>IF(HLOOKUP(MATCH($P$1,总课表!$DS$3:$EP$3,0),总课表!$DS$2:$EP$42,ROW(),0)=0,"",(HLOOKUP(MATCH($P$1,总课表!$DS$3:$EP$3,0),总课表!$DS$2:$EP$42,ROW(),0)))</f>
        <v/>
      </c>
      <c r="J6" s="26" t="str">
        <f>IF(HLOOKUP(MATCH($P$1,总课表!$EQ$3:$FN$3,0),总课表!$EQ$2:$FN$42,ROW(),0)=0,"",(HLOOKUP(MATCH($P$1,总课表!$EQ$3:$FN$3,0),总课表!$EQ$2:$FN$42,ROW(),0)))</f>
        <v/>
      </c>
      <c r="K6" s="24" t="str">
        <f>IF(HLOOKUP(MATCH($P$1,总课表!$FO$3:$GL$3,0),总课表!$FO$2:$GL$42,ROW(),0)=0,"",(HLOOKUP(MATCH($P$1,总课表!$FO$3:$GL$3,0),总课表!$FO$2:$GL$42,ROW(),0)))</f>
        <v>岳海霞</v>
      </c>
      <c r="L6" s="25" t="str">
        <f>IF(HLOOKUP(MATCH($P$1,总课表!$GM$3:$HJ$3,0),总课表!$GM$2:$HJ$42,ROW(),0)=0,"",(HLOOKUP(MATCH($P$1,总课表!$GM$3:$HJ$3,0),总课表!$GM$2:$HJ$42,ROW(),0)))</f>
        <v/>
      </c>
      <c r="M6" s="25" t="str">
        <f>IF(HLOOKUP(MATCH($P$1,总课表!$HK$3:$IH$3,0),总课表!$HK$2:$IH$42,ROW(),0)=0,"",(HLOOKUP(MATCH($P$1,总课表!$HK$3:$IH$3,0),总课表!$HK$2:$IH$42,ROW(),0)))</f>
        <v/>
      </c>
      <c r="N6" s="25" t="str">
        <f>IF(HLOOKUP(MATCH($P$1,总课表!$II$3:$JF$3,0),总课表!$II$2:$JF$42,ROW(),0)=0,"",(HLOOKUP(MATCH($P$1,总课表!$II$3:$JF$3,0),总课表!$II$2:$JF$42,ROW(),0)))</f>
        <v/>
      </c>
      <c r="O6" s="26" t="str">
        <f>IF(HLOOKUP(MATCH($P$1,总课表!$JG$3:$KD$3,0),总课表!$JG$2:$KD$42,ROW(),0)=0,"",(HLOOKUP(MATCH($P$1,总课表!$JG$3:$KD$3,0),总课表!$JG$2:$KD$42,ROW(),0)))</f>
        <v>岳海霞</v>
      </c>
    </row>
    <row r="7" spans="1:17" ht="28.05" customHeight="1" x14ac:dyDescent="0.4">
      <c r="A7" s="158" t="s">
        <v>181</v>
      </c>
      <c r="B7" s="169">
        <v>1</v>
      </c>
      <c r="C7" s="190" t="s">
        <v>182</v>
      </c>
      <c r="D7" s="16" t="str">
        <f>IF(HLOOKUP(MATCH($P$1,总课表!$C$3:$Z$3,0),总课表!$C$2:$Z$42,ROW(),0)=0,"",(HLOOKUP(MATCH($P$1,总课表!$C$3:$Z$3,0),总课表!$C$2:$Z$42,ROW(),0)))</f>
        <v/>
      </c>
      <c r="E7" s="27" t="str">
        <f>IF(HLOOKUP(MATCH($P$1,总课表!$AA$3:$AX$3,0),总课表!$AA$2:$AX$42,ROW(),0)=0,"",(HLOOKUP(MATCH($P$1,总课表!$AA$3:$AX$3,0),总课表!$AA$2:$AX$42,ROW(),0)))</f>
        <v/>
      </c>
      <c r="F7" s="27" t="str">
        <f>IF(HLOOKUP(MATCH($P$1,总课表!$AY$3:$BV$3,0),总课表!$AY$2:$BV$42,ROW(),0)=0,"",(HLOOKUP(MATCH($P$1,总课表!$AY$3:$BV$3,0),总课表!$AY$2:$BV$42,ROW(),0)))</f>
        <v/>
      </c>
      <c r="G7" s="27" t="str">
        <f>IF(HLOOKUP(MATCH($P$1,总课表!$BW$3:$CV$3,0),总课表!$BW$2:$CV$42,ROW(),0)=0,"",(HLOOKUP(MATCH($P$1,总课表!$BW$3:$CV$3,0),总课表!$BW$2:$CV$42,ROW(),0)))</f>
        <v/>
      </c>
      <c r="H7" s="28" t="str">
        <f>IF(HLOOKUP(MATCH($P$1,总课表!$CU$3:$DR$3,0),总课表!$CU$2:$DR$42,ROW(),0)=0,"",(HLOOKUP(MATCH($P$1,总课表!$CU$3:$DR$3,0),总课表!$CU$2:$DR$42,ROW(),0)))</f>
        <v/>
      </c>
      <c r="I7" s="16" t="str">
        <f>IF(HLOOKUP(MATCH($P$1,总课表!$DS$3:$EP$3,0),总课表!$DS$2:$EP$42,ROW(),0)=0,"",(HLOOKUP(MATCH($P$1,总课表!$DS$3:$EP$3,0),总课表!$DS$2:$EP$42,ROW(),0)))</f>
        <v/>
      </c>
      <c r="J7" s="28" t="str">
        <f>IF(HLOOKUP(MATCH($P$1,总课表!$EQ$3:$FN$3,0),总课表!$EQ$2:$FN$42,ROW(),0)=0,"",(HLOOKUP(MATCH($P$1,总课表!$EQ$3:$FN$3,0),总课表!$EQ$2:$FN$42,ROW(),0)))</f>
        <v/>
      </c>
      <c r="K7" s="16" t="str">
        <f>IF(HLOOKUP(MATCH($P$1,总课表!$FO$3:$GL$3,0),总课表!$FO$2:$GL$42,ROW(),0)=0,"",(HLOOKUP(MATCH($P$1,总课表!$FO$3:$GL$3,0),总课表!$FO$2:$GL$42,ROW(),0)))</f>
        <v/>
      </c>
      <c r="L7" s="27" t="str">
        <f>IF(HLOOKUP(MATCH($P$1,总课表!$GM$3:$HJ$3,0),总课表!$GM$2:$HJ$42,ROW(),0)=0,"",(HLOOKUP(MATCH($P$1,总课表!$GM$3:$HJ$3,0),总课表!$GM$2:$HJ$42,ROW(),0)))</f>
        <v/>
      </c>
      <c r="M7" s="27" t="str">
        <f>IF(HLOOKUP(MATCH($P$1,总课表!$HK$3:$IH$3,0),总课表!$HK$2:$IH$42,ROW(),0)=0,"",(HLOOKUP(MATCH($P$1,总课表!$HK$3:$IH$3,0),总课表!$HK$2:$IH$42,ROW(),0)))</f>
        <v/>
      </c>
      <c r="N7" s="27" t="str">
        <f>IF(HLOOKUP(MATCH($P$1,总课表!$II$3:$JF$3,0),总课表!$II$2:$JF$42,ROW(),0)=0,"",(HLOOKUP(MATCH($P$1,总课表!$II$3:$JF$3,0),总课表!$II$2:$JF$42,ROW(),0)))</f>
        <v/>
      </c>
      <c r="O7" s="28" t="str">
        <f>IF(HLOOKUP(MATCH($P$1,总课表!$JG$3:$KD$3,0),总课表!$JG$2:$KD$42,ROW(),0)=0,"",(HLOOKUP(MATCH($P$1,总课表!$JG$3:$KD$3,0),总课表!$JG$2:$KD$42,ROW(),0)))</f>
        <v/>
      </c>
    </row>
    <row r="8" spans="1:17" ht="29" customHeight="1" x14ac:dyDescent="0.4">
      <c r="A8" s="159"/>
      <c r="B8" s="170"/>
      <c r="C8" s="187"/>
      <c r="D8" s="20" t="str">
        <f>IF(HLOOKUP(MATCH($P$1,总课表!$C$3:$Z$3,0),总课表!$C$2:$Z$42,ROW(),0)=0,"",(HLOOKUP(MATCH($P$1,总课表!$C$3:$Z$3,0),总课表!$C$2:$Z$42,ROW(),0)))</f>
        <v/>
      </c>
      <c r="E8" s="21" t="str">
        <f>IF(HLOOKUP(MATCH($P$1,总课表!$AA$3:$AX$3,0),总课表!$AA$2:$AX$42,ROW(),0)=0,"",(HLOOKUP(MATCH($P$1,总课表!$AA$3:$AX$3,0),总课表!$AA$2:$AX$42,ROW(),0)))</f>
        <v/>
      </c>
      <c r="F8" s="29" t="str">
        <f>IF(HLOOKUP(MATCH($P$1,总课表!$AY$3:$BV$3,0),总课表!$AY$2:$BV$42,ROW(),0)=0,"",(HLOOKUP(MATCH($P$1,总课表!$AY$3:$BV$3,0),总课表!$AY$2:$BV$42,ROW(),0)))</f>
        <v/>
      </c>
      <c r="G8" s="29" t="str">
        <f>IF(HLOOKUP(MATCH($P$1,总课表!$BW$3:$CV$3,0),总课表!$BW$2:$CV$42,ROW(),0)=0,"",(HLOOKUP(MATCH($P$1,总课表!$BW$3:$CV$3,0),总课表!$BW$2:$CV$42,ROW(),0)))</f>
        <v/>
      </c>
      <c r="H8" s="30" t="str">
        <f>IF(HLOOKUP(MATCH($P$1,总课表!$CU$3:$DR$3,0),总课表!$CU$2:$DR$42,ROW(),0)=0,"",(HLOOKUP(MATCH($P$1,总课表!$CU$3:$DR$3,0),总课表!$CU$2:$DR$42,ROW(),0)))</f>
        <v/>
      </c>
      <c r="I8" s="23" t="str">
        <f>IF(HLOOKUP(MATCH($P$1,总课表!$DS$3:$EP$3,0),总课表!$DS$2:$EP$42,ROW(),0)=0,"",(HLOOKUP(MATCH($P$1,总课表!$DS$3:$EP$3,0),总课表!$DS$2:$EP$42,ROW(),0)))</f>
        <v/>
      </c>
      <c r="J8" s="30" t="str">
        <f>IF(HLOOKUP(MATCH($P$1,总课表!$EQ$3:$FN$3,0),总课表!$EQ$2:$FN$42,ROW(),0)=0,"",(HLOOKUP(MATCH($P$1,总课表!$EQ$3:$FN$3,0),总课表!$EQ$2:$FN$42,ROW(),0)))</f>
        <v/>
      </c>
      <c r="K8" s="20" t="str">
        <f>IF(HLOOKUP(MATCH($P$1,总课表!$FO$3:$GL$3,0),总课表!$FO$2:$GL$42,ROW(),0)=0,"",(HLOOKUP(MATCH($P$1,总课表!$FO$3:$GL$3,0),总课表!$FO$2:$GL$42,ROW(),0)))</f>
        <v/>
      </c>
      <c r="L8" s="29" t="str">
        <f>IF(HLOOKUP(MATCH($P$1,总课表!$GM$3:$HJ$3,0),总课表!$GM$2:$HJ$42,ROW(),0)=0,"",(HLOOKUP(MATCH($P$1,总课表!$GM$3:$HJ$3,0),总课表!$GM$2:$HJ$42,ROW(),0)))</f>
        <v/>
      </c>
      <c r="M8" s="29" t="str">
        <f>IF(HLOOKUP(MATCH($P$1,总课表!$HK$3:$IH$3,0),总课表!$HK$2:$IH$42,ROW(),0)=0,"",(HLOOKUP(MATCH($P$1,总课表!$HK$3:$IH$3,0),总课表!$HK$2:$IH$42,ROW(),0)))</f>
        <v/>
      </c>
      <c r="N8" s="29" t="str">
        <f>IF(HLOOKUP(MATCH($P$1,总课表!$II$3:$JF$3,0),总课表!$II$2:$JF$42,ROW(),0)=0,"",(HLOOKUP(MATCH($P$1,总课表!$II$3:$JF$3,0),总课表!$II$2:$JF$42,ROW(),0)))</f>
        <v/>
      </c>
      <c r="O8" s="30" t="str">
        <f>IF(HLOOKUP(MATCH($P$1,总课表!$JG$3:$KD$3,0),总课表!$JG$2:$KD$42,ROW(),0)=0,"",(HLOOKUP(MATCH($P$1,总课表!$JG$3:$KD$3,0),总课表!$JG$2:$KD$42,ROW(),0)))</f>
        <v/>
      </c>
    </row>
    <row r="9" spans="1:17" ht="29" customHeight="1" x14ac:dyDescent="0.4">
      <c r="A9" s="159"/>
      <c r="B9" s="171">
        <v>2</v>
      </c>
      <c r="C9" s="186" t="s">
        <v>183</v>
      </c>
      <c r="D9" s="19" t="str">
        <f>IF(HLOOKUP(MATCH($P$1,总课表!$C$3:$Z$3,0),总课表!$C$2:$Z$42,ROW(),0)=0,"",(HLOOKUP(MATCH($P$1,总课表!$C$3:$Z$3,0),总课表!$C$2:$Z$42,ROW(),0)))</f>
        <v/>
      </c>
      <c r="E9" s="17" t="str">
        <f>IF(HLOOKUP(MATCH($P$1,总课表!$AA$3:$AX$3,0),总课表!$AA$2:$AX$42,ROW(),0)=0,"",(HLOOKUP(MATCH($P$1,总课表!$AA$3:$AX$3,0),总课表!$AA$2:$AX$42,ROW(),0)))</f>
        <v/>
      </c>
      <c r="F9" s="17" t="str">
        <f>IF(HLOOKUP(MATCH($P$1,总课表!$AY$3:$BV$3,0),总课表!$AY$2:$BV$42,ROW(),0)=0,"",(HLOOKUP(MATCH($P$1,总课表!$AY$3:$BV$3,0),总课表!$AY$2:$BV$42,ROW(),0)))</f>
        <v/>
      </c>
      <c r="G9" s="17" t="str">
        <f>IF(HLOOKUP(MATCH($P$1,总课表!$BW$3:$CV$3,0),总课表!$BW$2:$CV$42,ROW(),0)=0,"",(HLOOKUP(MATCH($P$1,总课表!$BW$3:$CV$3,0),总课表!$BW$2:$CV$42,ROW(),0)))</f>
        <v/>
      </c>
      <c r="H9" s="18" t="str">
        <f>IF(HLOOKUP(MATCH($P$1,总课表!$CU$3:$DR$3,0),总课表!$CU$2:$DR$42,ROW(),0)=0,"",(HLOOKUP(MATCH($P$1,总课表!$CU$3:$DR$3,0),总课表!$CU$2:$DR$42,ROW(),0)))</f>
        <v/>
      </c>
      <c r="I9" s="19" t="str">
        <f>IF(HLOOKUP(MATCH($P$1,总课表!$DS$3:$EP$3,0),总课表!$DS$2:$EP$42,ROW(),0)=0,"",(HLOOKUP(MATCH($P$1,总课表!$DS$3:$EP$3,0),总课表!$DS$2:$EP$42,ROW(),0)))</f>
        <v/>
      </c>
      <c r="J9" s="18" t="str">
        <f>IF(HLOOKUP(MATCH($P$1,总课表!$EQ$3:$FN$3,0),总课表!$EQ$2:$FN$42,ROW(),0)=0,"",(HLOOKUP(MATCH($P$1,总课表!$EQ$3:$FN$3,0),总课表!$EQ$2:$FN$42,ROW(),0)))</f>
        <v/>
      </c>
      <c r="K9" s="16" t="str">
        <f>IF(HLOOKUP(MATCH($P$1,总课表!$FO$3:$GL$3,0),总课表!$FO$2:$GL$42,ROW(),0)=0,"",(HLOOKUP(MATCH($P$1,总课表!$FO$3:$GL$3,0),总课表!$FO$2:$GL$42,ROW(),0)))</f>
        <v/>
      </c>
      <c r="L9" s="27" t="str">
        <f>IF(HLOOKUP(MATCH($P$1,总课表!$GM$3:$HJ$3,0),总课表!$GM$2:$HJ$42,ROW(),0)=0,"",(HLOOKUP(MATCH($P$1,总课表!$GM$3:$HJ$3,0),总课表!$GM$2:$HJ$42,ROW(),0)))</f>
        <v/>
      </c>
      <c r="M9" s="27" t="str">
        <f>IF(HLOOKUP(MATCH($P$1,总课表!$HK$3:$IH$3,0),总课表!$HK$2:$IH$42,ROW(),0)=0,"",(HLOOKUP(MATCH($P$1,总课表!$HK$3:$IH$3,0),总课表!$HK$2:$IH$42,ROW(),0)))</f>
        <v/>
      </c>
      <c r="N9" s="27" t="str">
        <f>IF(HLOOKUP(MATCH($P$1,总课表!$II$3:$JF$3,0),总课表!$II$2:$JF$42,ROW(),0)=0,"",(HLOOKUP(MATCH($P$1,总课表!$II$3:$JF$3,0),总课表!$II$2:$JF$42,ROW(),0)))</f>
        <v/>
      </c>
      <c r="O9" s="28" t="str">
        <f>IF(HLOOKUP(MATCH($P$1,总课表!$JG$3:$KD$3,0),总课表!$JG$2:$KD$42,ROW(),0)=0,"",(HLOOKUP(MATCH($P$1,总课表!$JG$3:$KD$3,0),总课表!$JG$2:$KD$42,ROW(),0)))</f>
        <v/>
      </c>
    </row>
    <row r="10" spans="1:17" ht="29" customHeight="1" x14ac:dyDescent="0.4">
      <c r="A10" s="159"/>
      <c r="B10" s="172"/>
      <c r="C10" s="187"/>
      <c r="D10" s="31" t="str">
        <f>IF(HLOOKUP(MATCH($P$1,总课表!$C$3:$Z$3,0),总课表!$C$2:$Z$42,ROW(),0)=0,"",(HLOOKUP(MATCH($P$1,总课表!$C$3:$Z$3,0),总课表!$C$2:$Z$42,ROW(),0)))</f>
        <v/>
      </c>
      <c r="E10" s="32" t="str">
        <f>IF(HLOOKUP(MATCH($P$1,总课表!$AA$3:$AX$3,0),总课表!$AA$2:$AX$42,ROW(),0)=0,"",(HLOOKUP(MATCH($P$1,总课表!$AA$3:$AX$3,0),总课表!$AA$2:$AX$42,ROW(),0)))</f>
        <v/>
      </c>
      <c r="F10" s="33" t="str">
        <f>IF(HLOOKUP(MATCH($P$1,总课表!$AY$3:$BV$3,0),总课表!$AY$2:$BV$42,ROW(),0)=0,"",(HLOOKUP(MATCH($P$1,总课表!$AY$3:$BV$3,0),总课表!$AY$2:$BV$42,ROW(),0)))</f>
        <v/>
      </c>
      <c r="G10" s="33" t="str">
        <f>IF(HLOOKUP(MATCH($P$1,总课表!$BW$3:$CV$3,0),总课表!$BW$2:$CV$42,ROW(),0)=0,"",(HLOOKUP(MATCH($P$1,总课表!$BW$3:$CV$3,0),总课表!$BW$2:$CV$42,ROW(),0)))</f>
        <v/>
      </c>
      <c r="H10" s="34" t="str">
        <f>IF(HLOOKUP(MATCH($P$1,总课表!$CU$3:$DR$3,0),总课表!$CU$2:$DR$42,ROW(),0)=0,"",(HLOOKUP(MATCH($P$1,总课表!$CU$3:$DR$3,0),总课表!$CU$2:$DR$42,ROW(),0)))</f>
        <v/>
      </c>
      <c r="I10" s="31" t="str">
        <f>IF(HLOOKUP(MATCH($P$1,总课表!$DS$3:$EP$3,0),总课表!$DS$2:$EP$42,ROW(),0)=0,"",(HLOOKUP(MATCH($P$1,总课表!$DS$3:$EP$3,0),总课表!$DS$2:$EP$42,ROW(),0)))</f>
        <v/>
      </c>
      <c r="J10" s="34" t="str">
        <f>IF(HLOOKUP(MATCH($P$1,总课表!$EQ$3:$FN$3,0),总课表!$EQ$2:$FN$42,ROW(),0)=0,"",(HLOOKUP(MATCH($P$1,总课表!$EQ$3:$FN$3,0),总课表!$EQ$2:$FN$42,ROW(),0)))</f>
        <v/>
      </c>
      <c r="K10" s="35" t="str">
        <f>IF(HLOOKUP(MATCH($P$1,总课表!$FO$3:$GL$3,0),总课表!$FO$2:$GL$42,ROW(),0)=0,"",(HLOOKUP(MATCH($P$1,总课表!$FO$3:$GL$3,0),总课表!$FO$2:$GL$42,ROW(),0)))</f>
        <v/>
      </c>
      <c r="L10" s="33" t="str">
        <f>IF(HLOOKUP(MATCH($P$1,总课表!$GM$3:$HJ$3,0),总课表!$GM$2:$HJ$42,ROW(),0)=0,"",(HLOOKUP(MATCH($P$1,总课表!$GM$3:$HJ$3,0),总课表!$GM$2:$HJ$42,ROW(),0)))</f>
        <v/>
      </c>
      <c r="M10" s="33" t="str">
        <f>IF(HLOOKUP(MATCH($P$1,总课表!$HK$3:$IH$3,0),总课表!$HK$2:$IH$42,ROW(),0)=0,"",(HLOOKUP(MATCH($P$1,总课表!$HK$3:$IH$3,0),总课表!$HK$2:$IH$42,ROW(),0)))</f>
        <v/>
      </c>
      <c r="N10" s="33" t="str">
        <f>IF(HLOOKUP(MATCH($P$1,总课表!$II$3:$JF$3,0),总课表!$II$2:$JF$42,ROW(),0)=0,"",(HLOOKUP(MATCH($P$1,总课表!$II$3:$JF$3,0),总课表!$II$2:$JF$42,ROW(),0)))</f>
        <v/>
      </c>
      <c r="O10" s="34" t="str">
        <f>IF(HLOOKUP(MATCH($P$1,总课表!$JG$3:$KD$3,0),总课表!$JG$2:$KD$42,ROW(),0)=0,"",(HLOOKUP(MATCH($P$1,总课表!$JG$3:$KD$3,0),总课表!$JG$2:$KD$42,ROW(),0)))</f>
        <v/>
      </c>
      <c r="Q10" s="36"/>
    </row>
    <row r="11" spans="1:17" ht="29" customHeight="1" x14ac:dyDescent="0.4">
      <c r="A11" s="159"/>
      <c r="B11" s="173" t="s">
        <v>161</v>
      </c>
      <c r="C11" s="191" t="s">
        <v>184</v>
      </c>
      <c r="D11" s="201" t="s">
        <v>185</v>
      </c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2"/>
      <c r="P11" s="37"/>
      <c r="Q11" s="38"/>
    </row>
    <row r="12" spans="1:17" ht="29" customHeight="1" x14ac:dyDescent="0.4">
      <c r="A12" s="159"/>
      <c r="B12" s="174"/>
      <c r="C12" s="192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2"/>
      <c r="P12" s="37"/>
      <c r="Q12" s="39"/>
    </row>
    <row r="13" spans="1:17" ht="29" customHeight="1" x14ac:dyDescent="0.4">
      <c r="A13" s="159"/>
      <c r="B13" s="175">
        <v>3</v>
      </c>
      <c r="C13" s="193" t="s">
        <v>186</v>
      </c>
      <c r="D13" s="19" t="str">
        <f>IF(HLOOKUP(MATCH($P$1,总课表!$C$3:$Z$3,0),总课表!$C$2:$Z$42,ROW(),0)=0,"",(HLOOKUP(MATCH($P$1,总课表!$C$3:$Z$3,0),总课表!$C$2:$Z$42,ROW(),0)))</f>
        <v/>
      </c>
      <c r="E13" s="17" t="str">
        <f>IF(HLOOKUP(MATCH($P$1,总课表!$AA$3:$AX$3,0),总课表!$AA$2:$AX$42,ROW(),0)=0,"",(HLOOKUP(MATCH($P$1,总课表!$AA$3:$AX$3,0),总课表!$AA$2:$AX$42,ROW(),0)))</f>
        <v>英语</v>
      </c>
      <c r="F13" s="17" t="str">
        <f>IF(HLOOKUP(MATCH($P$1,总课表!$AY$3:$BV$3,0),总课表!$AY$2:$BV$42,ROW(),0)=0,"",(HLOOKUP(MATCH($P$1,总课表!$AY$3:$BV$3,0),总课表!$AY$2:$BV$42,ROW(),0)))</f>
        <v/>
      </c>
      <c r="G13" s="17" t="str">
        <f>IF(HLOOKUP(MATCH($P$1,总课表!$BW$3:$CV$3,0),总课表!$BW$2:$CV$42,ROW(),0)=0,"",(HLOOKUP(MATCH($P$1,总课表!$BW$3:$CV$3,0),总课表!$BW$2:$CV$42,ROW(),0)))</f>
        <v>英语</v>
      </c>
      <c r="H13" s="18" t="str">
        <f>IF(HLOOKUP(MATCH($P$1,总课表!$CU$3:$DR$3,0),总课表!$CU$2:$DR$42,ROW(),0)=0,"",(HLOOKUP(MATCH($P$1,总课表!$CU$3:$DR$3,0),总课表!$CU$2:$DR$42,ROW(),0)))</f>
        <v/>
      </c>
      <c r="I13" s="19" t="str">
        <f>IF(HLOOKUP(MATCH($P$1,总课表!$DS$3:$EP$3,0),总课表!$DS$2:$EP$42,ROW(),0)=0,"",(HLOOKUP(MATCH($P$1,总课表!$DS$3:$EP$3,0),总课表!$DS$2:$EP$42,ROW(),0)))</f>
        <v/>
      </c>
      <c r="J13" s="18" t="str">
        <f>IF(HLOOKUP(MATCH($P$1,总课表!$EQ$3:$FN$3,0),总课表!$EQ$2:$FN$42,ROW(),0)=0,"",(HLOOKUP(MATCH($P$1,总课表!$EQ$3:$FN$3,0),总课表!$EQ$2:$FN$42,ROW(),0)))</f>
        <v/>
      </c>
      <c r="K13" s="16" t="str">
        <f>IF(HLOOKUP(MATCH($P$1,总课表!$FO$3:$GL$3,0),总课表!$FO$2:$GL$42,ROW(),0)=0,"",(HLOOKUP(MATCH($P$1,总课表!$FO$3:$GL$3,0),总课表!$FO$2:$GL$42,ROW(),0)))</f>
        <v/>
      </c>
      <c r="L13" s="27" t="str">
        <f>IF(HLOOKUP(MATCH($P$1,总课表!$GM$3:$HJ$3,0),总课表!$GM$2:$HJ$42,ROW(),0)=0,"",(HLOOKUP(MATCH($P$1,总课表!$GM$3:$HJ$3,0),总课表!$GM$2:$HJ$42,ROW(),0)))</f>
        <v>英语</v>
      </c>
      <c r="M13" s="27" t="str">
        <f>IF(HLOOKUP(MATCH($P$1,总课表!$HK$3:$IH$3,0),总课表!$HK$2:$IH$42,ROW(),0)=0,"",(HLOOKUP(MATCH($P$1,总课表!$HK$3:$IH$3,0),总课表!$HK$2:$IH$42,ROW(),0)))</f>
        <v/>
      </c>
      <c r="N13" s="27" t="str">
        <f>IF(HLOOKUP(MATCH($P$1,总课表!$II$3:$JF$3,0),总课表!$II$2:$JF$42,ROW(),0)=0,"",(HLOOKUP(MATCH($P$1,总课表!$II$3:$JF$3,0),总课表!$II$2:$JF$42,ROW(),0)))</f>
        <v>英语</v>
      </c>
      <c r="O13" s="28" t="str">
        <f>IF(HLOOKUP(MATCH($P$1,总课表!$JG$3:$KD$3,0),总课表!$JG$2:$KD$42,ROW(),0)=0,"",(HLOOKUP(MATCH($P$1,总课表!$JG$3:$KD$3,0),总课表!$JG$2:$KD$42,ROW(),0)))</f>
        <v/>
      </c>
    </row>
    <row r="14" spans="1:17" ht="29" customHeight="1" x14ac:dyDescent="0.4">
      <c r="A14" s="159"/>
      <c r="B14" s="175"/>
      <c r="C14" s="194"/>
      <c r="D14" s="23" t="str">
        <f>IF(HLOOKUP(MATCH($P$1,总课表!$C$3:$Z$3,0),总课表!$C$2:$Z$42,ROW(),0)=0,"",(HLOOKUP(MATCH($P$1,总课表!$C$3:$Z$3,0),总课表!$C$2:$Z$42,ROW(),0)))</f>
        <v/>
      </c>
      <c r="E14" s="21" t="str">
        <f>IF(HLOOKUP(MATCH($P$1,总课表!$AA$3:$AX$3,0),总课表!$AA$2:$AX$42,ROW(),0)=0,"",(HLOOKUP(MATCH($P$1,总课表!$AA$3:$AX$3,0),总课表!$AA$2:$AX$42,ROW(),0)))</f>
        <v>岳海霞</v>
      </c>
      <c r="F14" s="29" t="str">
        <f>IF(HLOOKUP(MATCH($P$1,总课表!$AY$3:$BV$3,0),总课表!$AY$2:$BV$42,ROW(),0)=0,"",(HLOOKUP(MATCH($P$1,总课表!$AY$3:$BV$3,0),总课表!$AY$2:$BV$42,ROW(),0)))</f>
        <v/>
      </c>
      <c r="G14" s="29" t="str">
        <f>IF(HLOOKUP(MATCH($P$1,总课表!$BW$3:$CV$3,0),总课表!$BW$2:$CV$42,ROW(),0)=0,"",(HLOOKUP(MATCH($P$1,总课表!$BW$3:$CV$3,0),总课表!$BW$2:$CV$42,ROW(),0)))</f>
        <v>岳海霞</v>
      </c>
      <c r="H14" s="30" t="str">
        <f>IF(HLOOKUP(MATCH($P$1,总课表!$CU$3:$DR$3,0),总课表!$CU$2:$DR$42,ROW(),0)=0,"",(HLOOKUP(MATCH($P$1,总课表!$CU$3:$DR$3,0),总课表!$CU$2:$DR$42,ROW(),0)))</f>
        <v/>
      </c>
      <c r="I14" s="23" t="str">
        <f>IF(HLOOKUP(MATCH($P$1,总课表!$DS$3:$EP$3,0),总课表!$DS$2:$EP$42,ROW(),0)=0,"",(HLOOKUP(MATCH($P$1,总课表!$DS$3:$EP$3,0),总课表!$DS$2:$EP$42,ROW(),0)))</f>
        <v/>
      </c>
      <c r="J14" s="30" t="str">
        <f>IF(HLOOKUP(MATCH($P$1,总课表!$EQ$3:$FN$3,0),总课表!$EQ$2:$FN$42,ROW(),0)=0,"",(HLOOKUP(MATCH($P$1,总课表!$EQ$3:$FN$3,0),总课表!$EQ$2:$FN$42,ROW(),0)))</f>
        <v/>
      </c>
      <c r="K14" s="20" t="str">
        <f>IF(HLOOKUP(MATCH($P$1,总课表!$FO$3:$GL$3,0),总课表!$FO$2:$GL$42,ROW(),0)=0,"",(HLOOKUP(MATCH($P$1,总课表!$FO$3:$GL$3,0),总课表!$FO$2:$GL$42,ROW(),0)))</f>
        <v/>
      </c>
      <c r="L14" s="29" t="str">
        <f>IF(HLOOKUP(MATCH($P$1,总课表!$GM$3:$HJ$3,0),总课表!$GM$2:$HJ$42,ROW(),0)=0,"",(HLOOKUP(MATCH($P$1,总课表!$GM$3:$HJ$3,0),总课表!$GM$2:$HJ$42,ROW(),0)))</f>
        <v>岳海霞</v>
      </c>
      <c r="M14" s="29" t="str">
        <f>IF(HLOOKUP(MATCH($P$1,总课表!$HK$3:$IH$3,0),总课表!$HK$2:$IH$42,ROW(),0)=0,"",(HLOOKUP(MATCH($P$1,总课表!$HK$3:$IH$3,0),总课表!$HK$2:$IH$42,ROW(),0)))</f>
        <v/>
      </c>
      <c r="N14" s="29" t="str">
        <f>IF(HLOOKUP(MATCH($P$1,总课表!$II$3:$JF$3,0),总课表!$II$2:$JF$42,ROW(),0)=0,"",(HLOOKUP(MATCH($P$1,总课表!$II$3:$JF$3,0),总课表!$II$2:$JF$42,ROW(),0)))</f>
        <v>岳海霞</v>
      </c>
      <c r="O14" s="30" t="str">
        <f>IF(HLOOKUP(MATCH($P$1,总课表!$JG$3:$KD$3,0),总课表!$JG$2:$KD$42,ROW(),0)=0,"",(HLOOKUP(MATCH($P$1,总课表!$JG$3:$KD$3,0),总课表!$JG$2:$KD$42,ROW(),0)))</f>
        <v/>
      </c>
    </row>
    <row r="15" spans="1:17" ht="29" customHeight="1" x14ac:dyDescent="0.4">
      <c r="A15" s="159"/>
      <c r="B15" s="175">
        <v>4</v>
      </c>
      <c r="C15" s="195" t="s">
        <v>187</v>
      </c>
      <c r="D15" s="19" t="str">
        <f>IF(HLOOKUP(MATCH($P$1,总课表!$C$3:$Z$3,0),总课表!$C$2:$Z$42,ROW(),0)=0,"",(HLOOKUP(MATCH($P$1,总课表!$C$3:$Z$3,0),总课表!$C$2:$Z$42,ROW(),0)))</f>
        <v/>
      </c>
      <c r="E15" s="17" t="str">
        <f>IF(HLOOKUP(MATCH($P$1,总课表!$AA$3:$AX$3,0),总课表!$AA$2:$AX$42,ROW(),0)=0,"",(HLOOKUP(MATCH($P$1,总课表!$AA$3:$AX$3,0),总课表!$AA$2:$AX$42,ROW(),0)))</f>
        <v>英语</v>
      </c>
      <c r="F15" s="17" t="str">
        <f>IF(HLOOKUP(MATCH($P$1,总课表!$AY$3:$BV$3,0),总课表!$AY$2:$BV$42,ROW(),0)=0,"",(HLOOKUP(MATCH($P$1,总课表!$AY$3:$BV$3,0),总课表!$AY$2:$BV$42,ROW(),0)))</f>
        <v/>
      </c>
      <c r="G15" s="17" t="str">
        <f>IF(HLOOKUP(MATCH($P$1,总课表!$BW$3:$CV$3,0),总课表!$BW$2:$CV$42,ROW(),0)=0,"",(HLOOKUP(MATCH($P$1,总课表!$BW$3:$CV$3,0),总课表!$BW$2:$CV$42,ROW(),0)))</f>
        <v/>
      </c>
      <c r="H15" s="18" t="str">
        <f>IF(HLOOKUP(MATCH($P$1,总课表!$CU$3:$DR$3,0),总课表!$CU$2:$DR$42,ROW(),0)=0,"",(HLOOKUP(MATCH($P$1,总课表!$CU$3:$DR$3,0),总课表!$CU$2:$DR$42,ROW(),0)))</f>
        <v>英语</v>
      </c>
      <c r="I15" s="19" t="str">
        <f>IF(HLOOKUP(MATCH($P$1,总课表!$DS$3:$EP$3,0),总课表!$DS$2:$EP$42,ROW(),0)=0,"",(HLOOKUP(MATCH($P$1,总课表!$DS$3:$EP$3,0),总课表!$DS$2:$EP$42,ROW(),0)))</f>
        <v/>
      </c>
      <c r="J15" s="18" t="str">
        <f>IF(HLOOKUP(MATCH($P$1,总课表!$EQ$3:$FN$3,0),总课表!$EQ$2:$FN$42,ROW(),0)=0,"",(HLOOKUP(MATCH($P$1,总课表!$EQ$3:$FN$3,0),总课表!$EQ$2:$FN$42,ROW(),0)))</f>
        <v>英语</v>
      </c>
      <c r="K15" s="16" t="str">
        <f>IF(HLOOKUP(MATCH($P$1,总课表!$FO$3:$GL$3,0),总课表!$FO$2:$GL$42,ROW(),0)=0,"",(HLOOKUP(MATCH($P$1,总课表!$FO$3:$GL$3,0),总课表!$FO$2:$GL$42,ROW(),0)))</f>
        <v/>
      </c>
      <c r="L15" s="27" t="str">
        <f>IF(HLOOKUP(MATCH($P$1,总课表!$GM$3:$HJ$3,0),总课表!$GM$2:$HJ$42,ROW(),0)=0,"",(HLOOKUP(MATCH($P$1,总课表!$GM$3:$HJ$3,0),总课表!$GM$2:$HJ$42,ROW(),0)))</f>
        <v/>
      </c>
      <c r="M15" s="27" t="str">
        <f>IF(HLOOKUP(MATCH($P$1,总课表!$HK$3:$IH$3,0),总课表!$HK$2:$IH$42,ROW(),0)=0,"",(HLOOKUP(MATCH($P$1,总课表!$HK$3:$IH$3,0),总课表!$HK$2:$IH$42,ROW(),0)))</f>
        <v/>
      </c>
      <c r="N15" s="27" t="str">
        <f>IF(HLOOKUP(MATCH($P$1,总课表!$II$3:$JF$3,0),总课表!$II$2:$JF$42,ROW(),0)=0,"",(HLOOKUP(MATCH($P$1,总课表!$II$3:$JF$3,0),总课表!$II$2:$JF$42,ROW(),0)))</f>
        <v/>
      </c>
      <c r="O15" s="28" t="str">
        <f>IF(HLOOKUP(MATCH($P$1,总课表!$JG$3:$KD$3,0),总课表!$JG$2:$KD$42,ROW(),0)=0,"",(HLOOKUP(MATCH($P$1,总课表!$JG$3:$KD$3,0),总课表!$JG$2:$KD$42,ROW(),0)))</f>
        <v>英语</v>
      </c>
    </row>
    <row r="16" spans="1:17" ht="29" customHeight="1" x14ac:dyDescent="0.4">
      <c r="A16" s="159"/>
      <c r="B16" s="176"/>
      <c r="C16" s="188"/>
      <c r="D16" s="20" t="str">
        <f>IF(HLOOKUP(MATCH($P$1,总课表!$C$3:$Z$3,0),总课表!$C$2:$Z$42,ROW(),0)=0,"",(HLOOKUP(MATCH($P$1,总课表!$C$3:$Z$3,0),总课表!$C$2:$Z$42,ROW(),0)))</f>
        <v/>
      </c>
      <c r="E16" s="21" t="str">
        <f>IF(HLOOKUP(MATCH($P$1,总课表!$AA$3:$AX$3,0),总课表!$AA$2:$AX$42,ROW(),0)=0,"",(HLOOKUP(MATCH($P$1,总课表!$AA$3:$AX$3,0),总课表!$AA$2:$AX$42,ROW(),0)))</f>
        <v>岳海霞</v>
      </c>
      <c r="F16" s="29" t="str">
        <f>IF(HLOOKUP(MATCH($P$1,总课表!$AY$3:$BV$3,0),总课表!$AY$2:$BV$42,ROW(),0)=0,"",(HLOOKUP(MATCH($P$1,总课表!$AY$3:$BV$3,0),总课表!$AY$2:$BV$42,ROW(),0)))</f>
        <v/>
      </c>
      <c r="G16" s="29" t="str">
        <f>IF(HLOOKUP(MATCH($P$1,总课表!$BW$3:$CV$3,0),总课表!$BW$2:$CV$42,ROW(),0)=0,"",(HLOOKUP(MATCH($P$1,总课表!$BW$3:$CV$3,0),总课表!$BW$2:$CV$42,ROW(),0)))</f>
        <v/>
      </c>
      <c r="H16" s="30" t="str">
        <f>IF(HLOOKUP(MATCH($P$1,总课表!$CU$3:$DR$3,0),总课表!$CU$2:$DR$42,ROW(),0)=0,"",(HLOOKUP(MATCH($P$1,总课表!$CU$3:$DR$3,0),总课表!$CU$2:$DR$42,ROW(),0)))</f>
        <v>岳海霞</v>
      </c>
      <c r="I16" s="23" t="str">
        <f>IF(HLOOKUP(MATCH($P$1,总课表!$DS$3:$EP$3,0),总课表!$DS$2:$EP$42,ROW(),0)=0,"",(HLOOKUP(MATCH($P$1,总课表!$DS$3:$EP$3,0),总课表!$DS$2:$EP$42,ROW(),0)))</f>
        <v/>
      </c>
      <c r="J16" s="30" t="str">
        <f>IF(HLOOKUP(MATCH($P$1,总课表!$EQ$3:$FN$3,0),总课表!$EQ$2:$FN$42,ROW(),0)=0,"",(HLOOKUP(MATCH($P$1,总课表!$EQ$3:$FN$3,0),总课表!$EQ$2:$FN$42,ROW(),0)))</f>
        <v>岳海霞</v>
      </c>
      <c r="K16" s="20" t="str">
        <f>IF(HLOOKUP(MATCH($P$1,总课表!$FO$3:$GL$3,0),总课表!$FO$2:$GL$42,ROW(),0)=0,"",(HLOOKUP(MATCH($P$1,总课表!$FO$3:$GL$3,0),总课表!$FO$2:$GL$42,ROW(),0)))</f>
        <v/>
      </c>
      <c r="L16" s="29" t="str">
        <f>IF(HLOOKUP(MATCH($P$1,总课表!$GM$3:$HJ$3,0),总课表!$GM$2:$HJ$42,ROW(),0)=0,"",(HLOOKUP(MATCH($P$1,总课表!$GM$3:$HJ$3,0),总课表!$GM$2:$HJ$42,ROW(),0)))</f>
        <v/>
      </c>
      <c r="M16" s="29" t="str">
        <f>IF(HLOOKUP(MATCH($P$1,总课表!$HK$3:$IH$3,0),总课表!$HK$2:$IH$42,ROW(),0)=0,"",(HLOOKUP(MATCH($P$1,总课表!$HK$3:$IH$3,0),总课表!$HK$2:$IH$42,ROW(),0)))</f>
        <v/>
      </c>
      <c r="N16" s="29" t="str">
        <f>IF(HLOOKUP(MATCH($P$1,总课表!$II$3:$JF$3,0),总课表!$II$2:$JF$42,ROW(),0)=0,"",(HLOOKUP(MATCH($P$1,总课表!$II$3:$JF$3,0),总课表!$II$2:$JF$42,ROW(),0)))</f>
        <v/>
      </c>
      <c r="O16" s="30" t="str">
        <f>IF(HLOOKUP(MATCH($P$1,总课表!$JG$3:$KD$3,0),总课表!$JG$2:$KD$42,ROW(),0)=0,"",(HLOOKUP(MATCH($P$1,总课表!$JG$3:$KD$3,0),总课表!$JG$2:$KD$42,ROW(),0)))</f>
        <v>岳海霞</v>
      </c>
    </row>
    <row r="17" spans="1:15" ht="29" customHeight="1" x14ac:dyDescent="0.4">
      <c r="A17" s="159"/>
      <c r="B17" s="177">
        <v>5</v>
      </c>
      <c r="C17" s="196" t="s">
        <v>188</v>
      </c>
      <c r="D17" s="16" t="str">
        <f>IF(HLOOKUP(MATCH($P$1,总课表!$C$3:$Z$3,0),总课表!$C$2:$Z$42,ROW(),0)=0,"",(HLOOKUP(MATCH($P$1,总课表!$C$3:$Z$3,0),总课表!$C$2:$Z$42,ROW(),0)))</f>
        <v/>
      </c>
      <c r="E17" s="17" t="str">
        <f>IF(HLOOKUP(MATCH($P$1,总课表!$AA$3:$AX$3,0),总课表!$AA$2:$AX$42,ROW(),0)=0,"",(HLOOKUP(MATCH($P$1,总课表!$AA$3:$AX$3,0),总课表!$AA$2:$AX$42,ROW(),0)))</f>
        <v/>
      </c>
      <c r="F17" s="27" t="str">
        <f>IF(HLOOKUP(MATCH($P$1,总课表!$AY$3:$BV$3,0),总课表!$AY$2:$BV$42,ROW(),0)=0,"",(HLOOKUP(MATCH($P$1,总课表!$AY$3:$BV$3,0),总课表!$AY$2:$BV$42,ROW(),0)))</f>
        <v/>
      </c>
      <c r="G17" s="27" t="str">
        <f>IF(HLOOKUP(MATCH($P$1,总课表!$BW$3:$CV$3,0),总课表!$BW$2:$CV$42,ROW(),0)=0,"",(HLOOKUP(MATCH($P$1,总课表!$BW$3:$CV$3,0),总课表!$BW$2:$CV$42,ROW(),0)))</f>
        <v/>
      </c>
      <c r="H17" s="28" t="str">
        <f>IF(HLOOKUP(MATCH($P$1,总课表!$CU$3:$DR$3,0),总课表!$CU$2:$DR$42,ROW(),0)=0,"",(HLOOKUP(MATCH($P$1,总课表!$CU$3:$DR$3,0),总课表!$CU$2:$DR$42,ROW(),0)))</f>
        <v/>
      </c>
      <c r="I17" s="19" t="str">
        <f>IF(HLOOKUP(MATCH($P$1,总课表!$DS$3:$EP$3,0),总课表!$DS$2:$EP$42,ROW(),0)=0,"",(HLOOKUP(MATCH($P$1,总课表!$DS$3:$EP$3,0),总课表!$DS$2:$EP$42,ROW(),0)))</f>
        <v/>
      </c>
      <c r="J17" s="18" t="str">
        <f>IF(HLOOKUP(MATCH($P$1,总课表!$EQ$3:$FN$3,0),总课表!$EQ$2:$FN$42,ROW(),0)=0,"",(HLOOKUP(MATCH($P$1,总课表!$EQ$3:$FN$3,0),总课表!$EQ$2:$FN$42,ROW(),0)))</f>
        <v/>
      </c>
      <c r="K17" s="16" t="str">
        <f>IF(HLOOKUP(MATCH($P$1,总课表!$FO$3:$GL$3,0),总课表!$FO$2:$GL$42,ROW(),0)=0,"",(HLOOKUP(MATCH($P$1,总课表!$FO$3:$GL$3,0),总课表!$FO$2:$GL$42,ROW(),0)))</f>
        <v/>
      </c>
      <c r="L17" s="27" t="str">
        <f>IF(HLOOKUP(MATCH($P$1,总课表!$GM$3:$HJ$3,0),总课表!$GM$2:$HJ$42,ROW(),0)=0,"",(HLOOKUP(MATCH($P$1,总课表!$GM$3:$HJ$3,0),总课表!$GM$2:$HJ$42,ROW(),0)))</f>
        <v/>
      </c>
      <c r="M17" s="27" t="str">
        <f>IF(HLOOKUP(MATCH($P$1,总课表!$HK$3:$IH$3,0),总课表!$HK$2:$IH$42,ROW(),0)=0,"",(HLOOKUP(MATCH($P$1,总课表!$HK$3:$IH$3,0),总课表!$HK$2:$IH$42,ROW(),0)))</f>
        <v/>
      </c>
      <c r="N17" s="27" t="str">
        <f>IF(HLOOKUP(MATCH($P$1,总课表!$II$3:$JF$3,0),总课表!$II$2:$JF$42,ROW(),0)=0,"",(HLOOKUP(MATCH($P$1,总课表!$II$3:$JF$3,0),总课表!$II$2:$JF$42,ROW(),0)))</f>
        <v/>
      </c>
      <c r="O17" s="28" t="str">
        <f>IF(HLOOKUP(MATCH($P$1,总课表!$JG$3:$KD$3,0),总课表!$JG$2:$KD$42,ROW(),0)=0,"",(HLOOKUP(MATCH($P$1,总课表!$JG$3:$KD$3,0),总课表!$JG$2:$KD$42,ROW(),0)))</f>
        <v/>
      </c>
    </row>
    <row r="18" spans="1:15" ht="29" customHeight="1" x14ac:dyDescent="0.4">
      <c r="A18" s="159"/>
      <c r="B18" s="178"/>
      <c r="C18" s="197"/>
      <c r="D18" s="40" t="str">
        <f>IF(HLOOKUP(MATCH($P$1,总课表!$C$3:$Z$3,0),总课表!$C$2:$Z$42,ROW(),0)=0,"",(HLOOKUP(MATCH($P$1,总课表!$C$3:$Z$3,0),总课表!$C$2:$Z$42,ROW(),0)))</f>
        <v/>
      </c>
      <c r="E18" s="25" t="str">
        <f>IF(HLOOKUP(MATCH($P$1,总课表!$AA$3:$AX$3,0),总课表!$AA$2:$AX$42,ROW(),0)=0,"",(HLOOKUP(MATCH($P$1,总课表!$AA$3:$AX$3,0),总课表!$AA$2:$AX$42,ROW(),0)))</f>
        <v/>
      </c>
      <c r="F18" s="41" t="str">
        <f>IF(HLOOKUP(MATCH($P$1,总课表!$AY$3:$BV$3,0),总课表!$AY$2:$BV$42,ROW(),0)=0,"",(HLOOKUP(MATCH($P$1,总课表!$AY$3:$BV$3,0),总课表!$AY$2:$BV$42,ROW(),0)))</f>
        <v/>
      </c>
      <c r="G18" s="41" t="str">
        <f>IF(HLOOKUP(MATCH($P$1,总课表!$BW$3:$CV$3,0),总课表!$BW$2:$CV$42,ROW(),0)=0,"",(HLOOKUP(MATCH($P$1,总课表!$BW$3:$CV$3,0),总课表!$BW$2:$CV$42,ROW(),0)))</f>
        <v/>
      </c>
      <c r="H18" s="42" t="str">
        <f>IF(HLOOKUP(MATCH($P$1,总课表!$CU$3:$DR$3,0),总课表!$CU$2:$DR$42,ROW(),0)=0,"",(HLOOKUP(MATCH($P$1,总课表!$CU$3:$DR$3,0),总课表!$CU$2:$DR$42,ROW(),0)))</f>
        <v/>
      </c>
      <c r="I18" s="24" t="str">
        <f>IF(HLOOKUP(MATCH($P$1,总课表!$DS$3:$EP$3,0),总课表!$DS$2:$EP$42,ROW(),0)=0,"",(HLOOKUP(MATCH($P$1,总课表!$DS$3:$EP$3,0),总课表!$DS$2:$EP$42,ROW(),0)))</f>
        <v/>
      </c>
      <c r="J18" s="42" t="str">
        <f>IF(HLOOKUP(MATCH($P$1,总课表!$EQ$3:$FN$3,0),总课表!$EQ$2:$FN$42,ROW(),0)=0,"",(HLOOKUP(MATCH($P$1,总课表!$EQ$3:$FN$3,0),总课表!$EQ$2:$FN$42,ROW(),0)))</f>
        <v/>
      </c>
      <c r="K18" s="40" t="str">
        <f>IF(HLOOKUP(MATCH($P$1,总课表!$FO$3:$GL$3,0),总课表!$FO$2:$GL$42,ROW(),0)=0,"",(HLOOKUP(MATCH($P$1,总课表!$FO$3:$GL$3,0),总课表!$FO$2:$GL$42,ROW(),0)))</f>
        <v/>
      </c>
      <c r="L18" s="41" t="str">
        <f>IF(HLOOKUP(MATCH($P$1,总课表!$GM$3:$HJ$3,0),总课表!$GM$2:$HJ$42,ROW(),0)=0,"",(HLOOKUP(MATCH($P$1,总课表!$GM$3:$HJ$3,0),总课表!$GM$2:$HJ$42,ROW(),0)))</f>
        <v/>
      </c>
      <c r="M18" s="41" t="str">
        <f>IF(HLOOKUP(MATCH($P$1,总课表!$HK$3:$IH$3,0),总课表!$HK$2:$IH$42,ROW(),0)=0,"",(HLOOKUP(MATCH($P$1,总课表!$HK$3:$IH$3,0),总课表!$HK$2:$IH$42,ROW(),0)))</f>
        <v/>
      </c>
      <c r="N18" s="41" t="str">
        <f>IF(HLOOKUP(MATCH($P$1,总课表!$II$3:$JF$3,0),总课表!$II$2:$JF$42,ROW(),0)=0,"",(HLOOKUP(MATCH($P$1,总课表!$II$3:$JF$3,0),总课表!$II$2:$JF$42,ROW(),0)))</f>
        <v/>
      </c>
      <c r="O18" s="42" t="str">
        <f>IF(HLOOKUP(MATCH($P$1,总课表!$JG$3:$KD$3,0),总课表!$JG$2:$KD$42,ROW(),0)=0,"",(HLOOKUP(MATCH($P$1,总课表!$JG$3:$KD$3,0),总课表!$JG$2:$KD$42,ROW(),0)))</f>
        <v/>
      </c>
    </row>
    <row r="19" spans="1:15" ht="29" hidden="1" customHeight="1" x14ac:dyDescent="0.4">
      <c r="A19" s="160" t="s">
        <v>162</v>
      </c>
      <c r="B19" s="177" t="s">
        <v>163</v>
      </c>
      <c r="C19" s="195" t="s">
        <v>189</v>
      </c>
      <c r="D19" s="16" t="str">
        <f>IF(HLOOKUP(MATCH($P$1,总课表!$C$3:$Z$3,0),总课表!$C$2:$Z$42,ROW(),0)=0,"",(HLOOKUP(MATCH($P$1,总课表!$C$3:$Z$3,0),总课表!$C$2:$Z$42,ROW(),0)))</f>
        <v/>
      </c>
      <c r="E19" s="27" t="str">
        <f>IF(HLOOKUP(MATCH($P$1,总课表!$AA$3:$AX$3,0),总课表!$AA$2:$AX$42,ROW(),0)=0,"",(HLOOKUP(MATCH($P$1,总课表!$AA$3:$AX$3,0),总课表!$AA$2:$AX$42,ROW(),0)))</f>
        <v/>
      </c>
      <c r="F19" s="27" t="str">
        <f>IF(HLOOKUP(MATCH($P$1,总课表!$AY$3:$BV$3,0),总课表!$AY$2:$BV$42,ROW(),0)=0,"",(HLOOKUP(MATCH($P$1,总课表!$AY$3:$BV$3,0),总课表!$AY$2:$BV$42,ROW(),0)))</f>
        <v/>
      </c>
      <c r="G19" s="27" t="str">
        <f>IF(HLOOKUP(MATCH($P$1,总课表!$BW$3:$CV$3,0),总课表!$BW$2:$CV$42,ROW(),0)=0,"",(HLOOKUP(MATCH($P$1,总课表!$BW$3:$CV$3,0),总课表!$BW$2:$CV$42,ROW(),0)))</f>
        <v/>
      </c>
      <c r="H19" s="28" t="str">
        <f>IF(HLOOKUP(MATCH($P$1,总课表!$CU$3:$DR$3,0),总课表!$CU$2:$DR$42,ROW(),0)=0,"",(HLOOKUP(MATCH($P$1,总课表!$CU$3:$DR$3,0),总课表!$CU$2:$DR$42,ROW(),0)))</f>
        <v/>
      </c>
      <c r="I19" s="16" t="str">
        <f>IF(HLOOKUP(MATCH($P$1,总课表!$DS$3:$EP$3,0),总课表!$DS$2:$EP$42,ROW(),0)=0,"",(HLOOKUP(MATCH($P$1,总课表!$DS$3:$EP$3,0),总课表!$DS$2:$EP$42,ROW(),0)))</f>
        <v/>
      </c>
      <c r="J19" s="28" t="str">
        <f>IF(HLOOKUP(MATCH($P$1,总课表!$EQ$3:$FN$3,0),总课表!$EQ$2:$FN$42,ROW(),0)=0,"",(HLOOKUP(MATCH($P$1,总课表!$EQ$3:$FN$3,0),总课表!$EQ$2:$FN$42,ROW(),0)))</f>
        <v/>
      </c>
      <c r="K19" s="16" t="str">
        <f>IF(HLOOKUP(MATCH($P$1,总课表!$FO$3:$GL$3,0),总课表!$FO$2:$GL$42,ROW(),0)=0,"",(HLOOKUP(MATCH($P$1,总课表!$FO$3:$GL$3,0),总课表!$FO$2:$GL$42,ROW(),0)))</f>
        <v/>
      </c>
      <c r="L19" s="27" t="str">
        <f>IF(HLOOKUP(MATCH($P$1,总课表!$GM$3:$HJ$3,0),总课表!$GM$2:$HJ$42,ROW(),0)=0,"",(HLOOKUP(MATCH($P$1,总课表!$GM$3:$HJ$3,0),总课表!$GM$2:$HJ$42,ROW(),0)))</f>
        <v/>
      </c>
      <c r="M19" s="27" t="str">
        <f>IF(HLOOKUP(MATCH($P$1,总课表!$HK$3:$IH$3,0),总课表!$HK$2:$IH$42,ROW(),0)=0,"",(HLOOKUP(MATCH($P$1,总课表!$HK$3:$IH$3,0),总课表!$HK$2:$IH$42,ROW(),0)))</f>
        <v/>
      </c>
      <c r="N19" s="27" t="str">
        <f>IF(HLOOKUP(MATCH($P$1,总课表!$II$3:$JF$3,0),总课表!$II$2:$JF$42,ROW(),0)=0,"",(HLOOKUP(MATCH($P$1,总课表!$II$3:$JF$3,0),总课表!$II$2:$JF$42,ROW(),0)))</f>
        <v/>
      </c>
      <c r="O19" s="28" t="str">
        <f>IF(HLOOKUP(MATCH($P$1,总课表!$JG$3:$KD$3,0),总课表!$JG$2:$KD$42,ROW(),0)=0,"",(HLOOKUP(MATCH($P$1,总课表!$JG$3:$KD$3,0),总课表!$JG$2:$KD$42,ROW(),0)))</f>
        <v/>
      </c>
    </row>
    <row r="20" spans="1:15" ht="29" hidden="1" customHeight="1" x14ac:dyDescent="0.4">
      <c r="A20" s="161"/>
      <c r="B20" s="170"/>
      <c r="C20" s="187"/>
      <c r="D20" s="20" t="str">
        <f>IF(HLOOKUP(MATCH($P$1,总课表!$C$3:$Z$3,0),总课表!$C$2:$Z$42,ROW(),0)=0,"",(HLOOKUP(MATCH($P$1,总课表!$C$3:$Z$3,0),总课表!$C$2:$Z$42,ROW(),0)))</f>
        <v/>
      </c>
      <c r="E20" s="21" t="str">
        <f>IF(HLOOKUP(MATCH($P$1,总课表!$AA$3:$AX$3,0),总课表!$AA$2:$AX$42,ROW(),0)=0,"",(HLOOKUP(MATCH($P$1,总课表!$AA$3:$AX$3,0),总课表!$AA$2:$AX$42,ROW(),0)))</f>
        <v/>
      </c>
      <c r="F20" s="29" t="str">
        <f>IF(HLOOKUP(MATCH($P$1,总课表!$AY$3:$BV$3,0),总课表!$AY$2:$BV$42,ROW(),0)=0,"",(HLOOKUP(MATCH($P$1,总课表!$AY$3:$BV$3,0),总课表!$AY$2:$BV$42,ROW(),0)))</f>
        <v/>
      </c>
      <c r="G20" s="29" t="str">
        <f>IF(HLOOKUP(MATCH($P$1,总课表!$BW$3:$CV$3,0),总课表!$BW$2:$CV$42,ROW(),0)=0,"",(HLOOKUP(MATCH($P$1,总课表!$BW$3:$CV$3,0),总课表!$BW$2:$CV$42,ROW(),0)))</f>
        <v/>
      </c>
      <c r="H20" s="30" t="str">
        <f>IF(HLOOKUP(MATCH($P$1,总课表!$CU$3:$DR$3,0),总课表!$CU$2:$DR$42,ROW(),0)=0,"",(HLOOKUP(MATCH($P$1,总课表!$CU$3:$DR$3,0),总课表!$CU$2:$DR$42,ROW(),0)))</f>
        <v/>
      </c>
      <c r="I20" s="23" t="str">
        <f>IF(HLOOKUP(MATCH($P$1,总课表!$DS$3:$EP$3,0),总课表!$DS$2:$EP$42,ROW(),0)=0,"",(HLOOKUP(MATCH($P$1,总课表!$DS$3:$EP$3,0),总课表!$DS$2:$EP$42,ROW(),0)))</f>
        <v/>
      </c>
      <c r="J20" s="30" t="str">
        <f>IF(HLOOKUP(MATCH($P$1,总课表!$EQ$3:$FN$3,0),总课表!$EQ$2:$FN$42,ROW(),0)=0,"",(HLOOKUP(MATCH($P$1,总课表!$EQ$3:$FN$3,0),总课表!$EQ$2:$FN$42,ROW(),0)))</f>
        <v/>
      </c>
      <c r="K20" s="20" t="str">
        <f>IF(HLOOKUP(MATCH($P$1,总课表!$FO$3:$GL$3,0),总课表!$FO$2:$GL$42,ROW(),0)=0,"",(HLOOKUP(MATCH($P$1,总课表!$FO$3:$GL$3,0),总课表!$FO$2:$GL$42,ROW(),0)))</f>
        <v/>
      </c>
      <c r="L20" s="29" t="str">
        <f>IF(HLOOKUP(MATCH($P$1,总课表!$GM$3:$HJ$3,0),总课表!$GM$2:$HJ$42,ROW(),0)=0,"",(HLOOKUP(MATCH($P$1,总课表!$GM$3:$HJ$3,0),总课表!$GM$2:$HJ$42,ROW(),0)))</f>
        <v/>
      </c>
      <c r="M20" s="29" t="str">
        <f>IF(HLOOKUP(MATCH($P$1,总课表!$HK$3:$IH$3,0),总课表!$HK$2:$IH$42,ROW(),0)=0,"",(HLOOKUP(MATCH($P$1,总课表!$HK$3:$IH$3,0),总课表!$HK$2:$IH$42,ROW(),0)))</f>
        <v/>
      </c>
      <c r="N20" s="29" t="str">
        <f>IF(HLOOKUP(MATCH($P$1,总课表!$II$3:$JF$3,0),总课表!$II$2:$JF$42,ROW(),0)=0,"",(HLOOKUP(MATCH($P$1,总课表!$II$3:$JF$3,0),总课表!$II$2:$JF$42,ROW(),0)))</f>
        <v/>
      </c>
      <c r="O20" s="30" t="str">
        <f>IF(HLOOKUP(MATCH($P$1,总课表!$JG$3:$KD$3,0),总课表!$JG$2:$KD$42,ROW(),0)=0,"",(HLOOKUP(MATCH($P$1,总课表!$JG$3:$KD$3,0),总课表!$JG$2:$KD$42,ROW(),0)))</f>
        <v/>
      </c>
    </row>
    <row r="21" spans="1:15" ht="29" customHeight="1" x14ac:dyDescent="0.4">
      <c r="A21" s="161"/>
      <c r="B21" s="179">
        <v>1</v>
      </c>
      <c r="C21" s="186" t="s">
        <v>190</v>
      </c>
      <c r="D21" s="19" t="str">
        <f>IF(HLOOKUP(MATCH($P$1,总课表!$C$3:$Z$3,0),总课表!$C$2:$Z$42,ROW(),0)=0,"",(HLOOKUP(MATCH($P$1,总课表!$C$3:$Z$3,0),总课表!$C$2:$Z$42,ROW(),0)))</f>
        <v/>
      </c>
      <c r="E21" s="17" t="str">
        <f>IF(HLOOKUP(MATCH($P$1,总课表!$AA$3:$AX$3,0),总课表!$AA$2:$AX$42,ROW(),0)=0,"",(HLOOKUP(MATCH($P$1,总课表!$AA$3:$AX$3,0),总课表!$AA$2:$AX$42,ROW(),0)))</f>
        <v/>
      </c>
      <c r="F21" s="17" t="str">
        <f>IF(HLOOKUP(MATCH($P$1,总课表!$AY$3:$BV$3,0),总课表!$AY$2:$BV$42,ROW(),0)=0,"",(HLOOKUP(MATCH($P$1,总课表!$AY$3:$BV$3,0),总课表!$AY$2:$BV$42,ROW(),0)))</f>
        <v/>
      </c>
      <c r="G21" s="17" t="str">
        <f>IF(HLOOKUP(MATCH($P$1,总课表!$BW$3:$CV$3,0),总课表!$BW$2:$CV$42,ROW(),0)=0,"",(HLOOKUP(MATCH($P$1,总课表!$BW$3:$CV$3,0),总课表!$BW$2:$CV$42,ROW(),0)))</f>
        <v/>
      </c>
      <c r="H21" s="18" t="str">
        <f>IF(HLOOKUP(MATCH($P$1,总课表!$CU$3:$DR$3,0),总课表!$CU$2:$DR$42,ROW(),0)=0,"",(HLOOKUP(MATCH($P$1,总课表!$CU$3:$DR$3,0),总课表!$CU$2:$DR$42,ROW(),0)))</f>
        <v/>
      </c>
      <c r="I21" s="19" t="str">
        <f>IF(HLOOKUP(MATCH($P$1,总课表!$DS$3:$EP$3,0),总课表!$DS$2:$EP$42,ROW(),0)=0,"",(HLOOKUP(MATCH($P$1,总课表!$DS$3:$EP$3,0),总课表!$DS$2:$EP$42,ROW(),0)))</f>
        <v/>
      </c>
      <c r="J21" s="18" t="str">
        <f>IF(HLOOKUP(MATCH($P$1,总课表!$EQ$3:$FN$3,0),总课表!$EQ$2:$FN$42,ROW(),0)=0,"",(HLOOKUP(MATCH($P$1,总课表!$EQ$3:$FN$3,0),总课表!$EQ$2:$FN$42,ROW(),0)))</f>
        <v/>
      </c>
      <c r="K21" s="16" t="str">
        <f>IF(HLOOKUP(MATCH($P$1,总课表!$FO$3:$GL$3,0),总课表!$FO$2:$GL$42,ROW(),0)=0,"",(HLOOKUP(MATCH($P$1,总课表!$FO$3:$GL$3,0),总课表!$FO$2:$GL$42,ROW(),0)))</f>
        <v/>
      </c>
      <c r="L21" s="27" t="str">
        <f>IF(HLOOKUP(MATCH($P$1,总课表!$GM$3:$HJ$3,0),总课表!$GM$2:$HJ$42,ROW(),0)=0,"",(HLOOKUP(MATCH($P$1,总课表!$GM$3:$HJ$3,0),总课表!$GM$2:$HJ$42,ROW(),0)))</f>
        <v/>
      </c>
      <c r="M21" s="27" t="str">
        <f>IF(HLOOKUP(MATCH($P$1,总课表!$HK$3:$IH$3,0),总课表!$HK$2:$IH$42,ROW(),0)=0,"",(HLOOKUP(MATCH($P$1,总课表!$HK$3:$IH$3,0),总课表!$HK$2:$IH$42,ROW(),0)))</f>
        <v/>
      </c>
      <c r="N21" s="27" t="str">
        <f>IF(HLOOKUP(MATCH($P$1,总课表!$II$3:$JF$3,0),总课表!$II$2:$JF$42,ROW(),0)=0,"",(HLOOKUP(MATCH($P$1,总课表!$II$3:$JF$3,0),总课表!$II$2:$JF$42,ROW(),0)))</f>
        <v/>
      </c>
      <c r="O21" s="28" t="str">
        <f>IF(HLOOKUP(MATCH($P$1,总课表!$JG$3:$KD$3,0),总课表!$JG$2:$KD$42,ROW(),0)=0,"",(HLOOKUP(MATCH($P$1,总课表!$JG$3:$KD$3,0),总课表!$JG$2:$KD$42,ROW(),0)))</f>
        <v/>
      </c>
    </row>
    <row r="22" spans="1:15" ht="29" customHeight="1" x14ac:dyDescent="0.4">
      <c r="A22" s="161"/>
      <c r="B22" s="170"/>
      <c r="C22" s="187"/>
      <c r="D22" s="20" t="str">
        <f>IF(HLOOKUP(MATCH($P$1,总课表!$C$3:$Z$3,0),总课表!$C$2:$Z$42,ROW(),0)=0,"",(HLOOKUP(MATCH($P$1,总课表!$C$3:$Z$3,0),总课表!$C$2:$Z$42,ROW(),0)))</f>
        <v/>
      </c>
      <c r="E22" s="21" t="str">
        <f>IF(HLOOKUP(MATCH($P$1,总课表!$AA$3:$AX$3,0),总课表!$AA$2:$AX$42,ROW(),0)=0,"",(HLOOKUP(MATCH($P$1,总课表!$AA$3:$AX$3,0),总课表!$AA$2:$AX$42,ROW(),0)))</f>
        <v/>
      </c>
      <c r="F22" s="29" t="str">
        <f>IF(HLOOKUP(MATCH($P$1,总课表!$AY$3:$BV$3,0),总课表!$AY$2:$BV$42,ROW(),0)=0,"",(HLOOKUP(MATCH($P$1,总课表!$AY$3:$BV$3,0),总课表!$AY$2:$BV$42,ROW(),0)))</f>
        <v/>
      </c>
      <c r="G22" s="29" t="str">
        <f>IF(HLOOKUP(MATCH($P$1,总课表!$BW$3:$CV$3,0),总课表!$BW$2:$CV$42,ROW(),0)=0,"",(HLOOKUP(MATCH($P$1,总课表!$BW$3:$CV$3,0),总课表!$BW$2:$CV$42,ROW(),0)))</f>
        <v/>
      </c>
      <c r="H22" s="30" t="str">
        <f>IF(HLOOKUP(MATCH($P$1,总课表!$CU$3:$DR$3,0),总课表!$CU$2:$DR$42,ROW(),0)=0,"",(HLOOKUP(MATCH($P$1,总课表!$CU$3:$DR$3,0),总课表!$CU$2:$DR$42,ROW(),0)))</f>
        <v/>
      </c>
      <c r="I22" s="23" t="str">
        <f>IF(HLOOKUP(MATCH($P$1,总课表!$DS$3:$EP$3,0),总课表!$DS$2:$EP$42,ROW(),0)=0,"",(HLOOKUP(MATCH($P$1,总课表!$DS$3:$EP$3,0),总课表!$DS$2:$EP$42,ROW(),0)))</f>
        <v/>
      </c>
      <c r="J22" s="30" t="str">
        <f>IF(HLOOKUP(MATCH($P$1,总课表!$EQ$3:$FN$3,0),总课表!$EQ$2:$FN$42,ROW(),0)=0,"",(HLOOKUP(MATCH($P$1,总课表!$EQ$3:$FN$3,0),总课表!$EQ$2:$FN$42,ROW(),0)))</f>
        <v/>
      </c>
      <c r="K22" s="20" t="str">
        <f>IF(HLOOKUP(MATCH($P$1,总课表!$FO$3:$GL$3,0),总课表!$FO$2:$GL$42,ROW(),0)=0,"",(HLOOKUP(MATCH($P$1,总课表!$FO$3:$GL$3,0),总课表!$FO$2:$GL$42,ROW(),0)))</f>
        <v/>
      </c>
      <c r="L22" s="29" t="str">
        <f>IF(HLOOKUP(MATCH($P$1,总课表!$GM$3:$HJ$3,0),总课表!$GM$2:$HJ$42,ROW(),0)=0,"",(HLOOKUP(MATCH($P$1,总课表!$GM$3:$HJ$3,0),总课表!$GM$2:$HJ$42,ROW(),0)))</f>
        <v/>
      </c>
      <c r="M22" s="29" t="str">
        <f>IF(HLOOKUP(MATCH($P$1,总课表!$HK$3:$IH$3,0),总课表!$HK$2:$IH$42,ROW(),0)=0,"",(HLOOKUP(MATCH($P$1,总课表!$HK$3:$IH$3,0),总课表!$HK$2:$IH$42,ROW(),0)))</f>
        <v/>
      </c>
      <c r="N22" s="29" t="str">
        <f>IF(HLOOKUP(MATCH($P$1,总课表!$II$3:$JF$3,0),总课表!$II$2:$JF$42,ROW(),0)=0,"",(HLOOKUP(MATCH($P$1,总课表!$II$3:$JF$3,0),总课表!$II$2:$JF$42,ROW(),0)))</f>
        <v/>
      </c>
      <c r="O22" s="30" t="str">
        <f>IF(HLOOKUP(MATCH($P$1,总课表!$JG$3:$KD$3,0),总课表!$JG$2:$KD$42,ROW(),0)=0,"",(HLOOKUP(MATCH($P$1,总课表!$JG$3:$KD$3,0),总课表!$JG$2:$KD$42,ROW(),0)))</f>
        <v/>
      </c>
    </row>
    <row r="23" spans="1:15" ht="29" customHeight="1" x14ac:dyDescent="0.4">
      <c r="A23" s="161"/>
      <c r="B23" s="179">
        <v>2</v>
      </c>
      <c r="C23" s="186" t="s">
        <v>191</v>
      </c>
      <c r="D23" s="19" t="str">
        <f>IF(HLOOKUP(MATCH($P$1,总课表!$C$3:$Z$3,0),总课表!$C$2:$Z$42,ROW(),0)=0,"",(HLOOKUP(MATCH($P$1,总课表!$C$3:$Z$3,0),总课表!$C$2:$Z$42,ROW(),0)))</f>
        <v>英语</v>
      </c>
      <c r="E23" s="17" t="str">
        <f>IF(HLOOKUP(MATCH($P$1,总课表!$AA$3:$AX$3,0),总课表!$AA$2:$AX$42,ROW(),0)=0,"",(HLOOKUP(MATCH($P$1,总课表!$AA$3:$AX$3,0),总课表!$AA$2:$AX$42,ROW(),0)))</f>
        <v/>
      </c>
      <c r="F23" s="17" t="str">
        <f>IF(HLOOKUP(MATCH($P$1,总课表!$AY$3:$BV$3,0),总课表!$AY$2:$BV$42,ROW(),0)=0,"",(HLOOKUP(MATCH($P$1,总课表!$AY$3:$BV$3,0),总课表!$AY$2:$BV$42,ROW(),0)))</f>
        <v/>
      </c>
      <c r="G23" s="17" t="str">
        <f>IF(HLOOKUP(MATCH($P$1,总课表!$BW$3:$CV$3,0),总课表!$BW$2:$CV$42,ROW(),0)=0,"",(HLOOKUP(MATCH($P$1,总课表!$BW$3:$CV$3,0),总课表!$BW$2:$CV$42,ROW(),0)))</f>
        <v/>
      </c>
      <c r="H23" s="18" t="str">
        <f>IF(HLOOKUP(MATCH($P$1,总课表!$CU$3:$DR$3,0),总课表!$CU$2:$DR$42,ROW(),0)=0,"",(HLOOKUP(MATCH($P$1,总课表!$CU$3:$DR$3,0),总课表!$CU$2:$DR$42,ROW(),0)))</f>
        <v/>
      </c>
      <c r="I23" s="19" t="str">
        <f>IF(HLOOKUP(MATCH($P$1,总课表!$DS$3:$EP$3,0),总课表!$DS$2:$EP$42,ROW(),0)=0,"",(HLOOKUP(MATCH($P$1,总课表!$DS$3:$EP$3,0),总课表!$DS$2:$EP$42,ROW(),0)))</f>
        <v/>
      </c>
      <c r="J23" s="18" t="str">
        <f>IF(HLOOKUP(MATCH($P$1,总课表!$EQ$3:$FN$3,0),总课表!$EQ$2:$FN$42,ROW(),0)=0,"",(HLOOKUP(MATCH($P$1,总课表!$EQ$3:$FN$3,0),总课表!$EQ$2:$FN$42,ROW(),0)))</f>
        <v>英语</v>
      </c>
      <c r="K23" s="16" t="str">
        <f>IF(HLOOKUP(MATCH($P$1,总课表!$FO$3:$GL$3,0),总课表!$FO$2:$GL$42,ROW(),0)=0,"",(HLOOKUP(MATCH($P$1,总课表!$FO$3:$GL$3,0),总课表!$FO$2:$GL$42,ROW(),0)))</f>
        <v>英语</v>
      </c>
      <c r="L23" s="27" t="str">
        <f>IF(HLOOKUP(MATCH($P$1,总课表!$GM$3:$HJ$3,0),总课表!$GM$2:$HJ$42,ROW(),0)=0,"",(HLOOKUP(MATCH($P$1,总课表!$GM$3:$HJ$3,0),总课表!$GM$2:$HJ$42,ROW(),0)))</f>
        <v/>
      </c>
      <c r="M23" s="27" t="str">
        <f>IF(HLOOKUP(MATCH($P$1,总课表!$HK$3:$IH$3,0),总课表!$HK$2:$IH$42,ROW(),0)=0,"",(HLOOKUP(MATCH($P$1,总课表!$HK$3:$IH$3,0),总课表!$HK$2:$IH$42,ROW(),0)))</f>
        <v/>
      </c>
      <c r="N23" s="27" t="str">
        <f>IF(HLOOKUP(MATCH($P$1,总课表!$II$3:$JF$3,0),总课表!$II$2:$JF$42,ROW(),0)=0,"",(HLOOKUP(MATCH($P$1,总课表!$II$3:$JF$3,0),总课表!$II$2:$JF$42,ROW(),0)))</f>
        <v/>
      </c>
      <c r="O23" s="28" t="str">
        <f>IF(HLOOKUP(MATCH($P$1,总课表!$JG$3:$KD$3,0),总课表!$JG$2:$KD$42,ROW(),0)=0,"",(HLOOKUP(MATCH($P$1,总课表!$JG$3:$KD$3,0),总课表!$JG$2:$KD$42,ROW(),0)))</f>
        <v/>
      </c>
    </row>
    <row r="24" spans="1:15" ht="29" customHeight="1" x14ac:dyDescent="0.4">
      <c r="A24" s="161"/>
      <c r="B24" s="170"/>
      <c r="C24" s="187"/>
      <c r="D24" s="20" t="str">
        <f>IF(HLOOKUP(MATCH($P$1,总课表!$C$3:$Z$3,0),总课表!$C$2:$Z$42,ROW(),0)=0,"",(HLOOKUP(MATCH($P$1,总课表!$C$3:$Z$3,0),总课表!$C$2:$Z$42,ROW(),0)))</f>
        <v>岳海霞</v>
      </c>
      <c r="E24" s="21" t="str">
        <f>IF(HLOOKUP(MATCH($P$1,总课表!$AA$3:$AX$3,0),总课表!$AA$2:$AX$42,ROW(),0)=0,"",(HLOOKUP(MATCH($P$1,总课表!$AA$3:$AX$3,0),总课表!$AA$2:$AX$42,ROW(),0)))</f>
        <v/>
      </c>
      <c r="F24" s="29" t="str">
        <f>IF(HLOOKUP(MATCH($P$1,总课表!$AY$3:$BV$3,0),总课表!$AY$2:$BV$42,ROW(),0)=0,"",(HLOOKUP(MATCH($P$1,总课表!$AY$3:$BV$3,0),总课表!$AY$2:$BV$42,ROW(),0)))</f>
        <v/>
      </c>
      <c r="G24" s="29" t="str">
        <f>IF(HLOOKUP(MATCH($P$1,总课表!$BW$3:$CV$3,0),总课表!$BW$2:$CV$42,ROW(),0)=0,"",(HLOOKUP(MATCH($P$1,总课表!$BW$3:$CV$3,0),总课表!$BW$2:$CV$42,ROW(),0)))</f>
        <v/>
      </c>
      <c r="H24" s="30" t="str">
        <f>IF(HLOOKUP(MATCH($P$1,总课表!$CU$3:$DR$3,0),总课表!$CU$2:$DR$42,ROW(),0)=0,"",(HLOOKUP(MATCH($P$1,总课表!$CU$3:$DR$3,0),总课表!$CU$2:$DR$42,ROW(),0)))</f>
        <v/>
      </c>
      <c r="I24" s="23" t="str">
        <f>IF(HLOOKUP(MATCH($P$1,总课表!$DS$3:$EP$3,0),总课表!$DS$2:$EP$42,ROW(),0)=0,"",(HLOOKUP(MATCH($P$1,总课表!$DS$3:$EP$3,0),总课表!$DS$2:$EP$42,ROW(),0)))</f>
        <v/>
      </c>
      <c r="J24" s="30" t="str">
        <f>IF(HLOOKUP(MATCH($P$1,总课表!$EQ$3:$FN$3,0),总课表!$EQ$2:$FN$42,ROW(),0)=0,"",(HLOOKUP(MATCH($P$1,总课表!$EQ$3:$FN$3,0),总课表!$EQ$2:$FN$42,ROW(),0)))</f>
        <v>岳海霞</v>
      </c>
      <c r="K24" s="20" t="str">
        <f>IF(HLOOKUP(MATCH($P$1,总课表!$FO$3:$GL$3,0),总课表!$FO$2:$GL$42,ROW(),0)=0,"",(HLOOKUP(MATCH($P$1,总课表!$FO$3:$GL$3,0),总课表!$FO$2:$GL$42,ROW(),0)))</f>
        <v>岳海霞</v>
      </c>
      <c r="L24" s="29" t="str">
        <f>IF(HLOOKUP(MATCH($P$1,总课表!$GM$3:$HJ$3,0),总课表!$GM$2:$HJ$42,ROW(),0)=0,"",(HLOOKUP(MATCH($P$1,总课表!$GM$3:$HJ$3,0),总课表!$GM$2:$HJ$42,ROW(),0)))</f>
        <v/>
      </c>
      <c r="M24" s="29" t="str">
        <f>IF(HLOOKUP(MATCH($P$1,总课表!$HK$3:$IH$3,0),总课表!$HK$2:$IH$42,ROW(),0)=0,"",(HLOOKUP(MATCH($P$1,总课表!$HK$3:$IH$3,0),总课表!$HK$2:$IH$42,ROW(),0)))</f>
        <v/>
      </c>
      <c r="N24" s="29" t="str">
        <f>IF(HLOOKUP(MATCH($P$1,总课表!$II$3:$JF$3,0),总课表!$II$2:$JF$42,ROW(),0)=0,"",(HLOOKUP(MATCH($P$1,总课表!$II$3:$JF$3,0),总课表!$II$2:$JF$42,ROW(),0)))</f>
        <v/>
      </c>
      <c r="O24" s="30" t="str">
        <f>IF(HLOOKUP(MATCH($P$1,总课表!$JG$3:$KD$3,0),总课表!$JG$2:$KD$42,ROW(),0)=0,"",(HLOOKUP(MATCH($P$1,总课表!$JG$3:$KD$3,0),总课表!$JG$2:$KD$42,ROW(),0)))</f>
        <v/>
      </c>
    </row>
    <row r="25" spans="1:15" ht="29" customHeight="1" x14ac:dyDescent="0.4">
      <c r="A25" s="161"/>
      <c r="B25" s="173" t="s">
        <v>161</v>
      </c>
      <c r="C25" s="195" t="s">
        <v>192</v>
      </c>
      <c r="D25" s="16" t="str">
        <f>IF(HLOOKUP(MATCH($P$1,总课表!$C$3:$Z$3,0),总课表!$C$2:$Z$42,ROW(),0)=0,"",(HLOOKUP(MATCH($P$1,总课表!$C$3:$Z$3,0),总课表!$C$2:$Z$42,ROW(),0)))</f>
        <v/>
      </c>
      <c r="E25" s="17" t="str">
        <f>IF(HLOOKUP(MATCH($P$1,总课表!$AA$3:$AX$3,0),总课表!$AA$2:$AX$42,ROW(),0)=0,"",(HLOOKUP(MATCH($P$1,总课表!$AA$3:$AX$3,0),总课表!$AA$2:$AX$42,ROW(),0)))</f>
        <v/>
      </c>
      <c r="F25" s="27" t="str">
        <f>IF(HLOOKUP(MATCH($P$1,总课表!$AY$3:$BV$3,0),总课表!$AY$2:$BV$42,ROW(),0)=0,"",(HLOOKUP(MATCH($P$1,总课表!$AY$3:$BV$3,0),总课表!$AY$2:$BV$42,ROW(),0)))</f>
        <v/>
      </c>
      <c r="G25" s="27" t="str">
        <f>IF(HLOOKUP(MATCH($P$1,总课表!$BW$3:$CV$3,0),总课表!$BW$2:$CV$42,ROW(),0)=0,"",(HLOOKUP(MATCH($P$1,总课表!$BW$3:$CV$3,0),总课表!$BW$2:$CV$42,ROW(),0)))</f>
        <v>英语</v>
      </c>
      <c r="H25" s="28" t="str">
        <f>IF(HLOOKUP(MATCH($P$1,总课表!$CU$3:$DR$3,0),总课表!$CU$2:$DR$42,ROW(),0)=0,"",(HLOOKUP(MATCH($P$1,总课表!$CU$3:$DR$3,0),总课表!$CU$2:$DR$42,ROW(),0)))</f>
        <v/>
      </c>
      <c r="I25" s="19" t="str">
        <f>IF(HLOOKUP(MATCH($P$1,总课表!$DS$3:$EP$3,0),总课表!$DS$2:$EP$42,ROW(),0)=0,"",(HLOOKUP(MATCH($P$1,总课表!$DS$3:$EP$3,0),总课表!$DS$2:$EP$42,ROW(),0)))</f>
        <v/>
      </c>
      <c r="J25" s="28" t="str">
        <f>IF(HLOOKUP(MATCH($P$1,总课表!$EQ$3:$FN$3,0),总课表!$EQ$2:$FN$42,ROW(),0)=0,"",(HLOOKUP(MATCH($P$1,总课表!$EQ$3:$FN$3,0),总课表!$EQ$2:$FN$42,ROW(),0)))</f>
        <v/>
      </c>
      <c r="K25" s="16" t="str">
        <f>IF(HLOOKUP(MATCH($P$1,总课表!$FO$3:$GL$3,0),总课表!$FO$2:$GL$42,ROW(),0)=0,"",(HLOOKUP(MATCH($P$1,总课表!$FO$3:$GL$3,0),总课表!$FO$2:$GL$42,ROW(),0)))</f>
        <v/>
      </c>
      <c r="L25" s="27" t="str">
        <f>IF(HLOOKUP(MATCH($P$1,总课表!$GM$3:$HJ$3,0),总课表!$GM$2:$HJ$42,ROW(),0)=0,"",(HLOOKUP(MATCH($P$1,总课表!$GM$3:$HJ$3,0),总课表!$GM$2:$HJ$42,ROW(),0)))</f>
        <v/>
      </c>
      <c r="M25" s="27" t="str">
        <f>IF(HLOOKUP(MATCH($P$1,总课表!$HK$3:$IH$3,0),总课表!$HK$2:$IH$42,ROW(),0)=0,"",(HLOOKUP(MATCH($P$1,总课表!$HK$3:$IH$3,0),总课表!$HK$2:$IH$42,ROW(),0)))</f>
        <v/>
      </c>
      <c r="N25" s="27" t="str">
        <f>IF(HLOOKUP(MATCH($P$1,总课表!$II$3:$JF$3,0),总课表!$II$2:$JF$42,ROW(),0)=0,"",(HLOOKUP(MATCH($P$1,总课表!$II$3:$JF$3,0),总课表!$II$2:$JF$42,ROW(),0)))</f>
        <v/>
      </c>
      <c r="O25" s="28" t="str">
        <f>IF(HLOOKUP(MATCH($P$1,总课表!$JG$3:$KD$3,0),总课表!$JG$2:$KD$42,ROW(),0)=0,"",(HLOOKUP(MATCH($P$1,总课表!$JG$3:$KD$3,0),总课表!$JG$2:$KD$42,ROW(),0)))</f>
        <v/>
      </c>
    </row>
    <row r="26" spans="1:15" ht="29" customHeight="1" x14ac:dyDescent="0.4">
      <c r="A26" s="161"/>
      <c r="B26" s="174"/>
      <c r="C26" s="188"/>
      <c r="D26" s="20" t="str">
        <f>IF(HLOOKUP(MATCH($P$1,总课表!$C$3:$Z$3,0),总课表!$C$2:$Z$42,ROW(),0)=0,"",(HLOOKUP(MATCH($P$1,总课表!$C$3:$Z$3,0),总课表!$C$2:$Z$42,ROW(),0)))</f>
        <v/>
      </c>
      <c r="E26" s="21" t="str">
        <f>IF(HLOOKUP(MATCH($P$1,总课表!$AA$3:$AX$3,0),总课表!$AA$2:$AX$42,ROW(),0)=0,"",(HLOOKUP(MATCH($P$1,总课表!$AA$3:$AX$3,0),总课表!$AA$2:$AX$42,ROW(),0)))</f>
        <v/>
      </c>
      <c r="F26" s="29" t="str">
        <f>IF(HLOOKUP(MATCH($P$1,总课表!$AY$3:$BV$3,0),总课表!$AY$2:$BV$42,ROW(),0)=0,"",(HLOOKUP(MATCH($P$1,总课表!$AY$3:$BV$3,0),总课表!$AY$2:$BV$42,ROW(),0)))</f>
        <v/>
      </c>
      <c r="G26" s="29" t="str">
        <f>IF(HLOOKUP(MATCH($P$1,总课表!$BW$3:$CV$3,0),总课表!$BW$2:$CV$42,ROW(),0)=0,"",(HLOOKUP(MATCH($P$1,总课表!$BW$3:$CV$3,0),总课表!$BW$2:$CV$42,ROW(),0)))</f>
        <v>岳海霞</v>
      </c>
      <c r="H26" s="30" t="str">
        <f>IF(HLOOKUP(MATCH($P$1,总课表!$CU$3:$DR$3,0),总课表!$CU$2:$DR$42,ROW(),0)=0,"",(HLOOKUP(MATCH($P$1,总课表!$CU$3:$DR$3,0),总课表!$CU$2:$DR$42,ROW(),0)))</f>
        <v/>
      </c>
      <c r="I26" s="23" t="str">
        <f>IF(HLOOKUP(MATCH($P$1,总课表!$DS$3:$EP$3,0),总课表!$DS$2:$EP$42,ROW(),0)=0,"",(HLOOKUP(MATCH($P$1,总课表!$DS$3:$EP$3,0),总课表!$DS$2:$EP$42,ROW(),0)))</f>
        <v/>
      </c>
      <c r="J26" s="30" t="str">
        <f>IF(HLOOKUP(MATCH($P$1,总课表!$EQ$3:$FN$3,0),总课表!$EQ$2:$FN$42,ROW(),0)=0,"",(HLOOKUP(MATCH($P$1,总课表!$EQ$3:$FN$3,0),总课表!$EQ$2:$FN$42,ROW(),0)))</f>
        <v/>
      </c>
      <c r="K26" s="20" t="str">
        <f>IF(HLOOKUP(MATCH($P$1,总课表!$FO$3:$GL$3,0),总课表!$FO$2:$GL$42,ROW(),0)=0,"",(HLOOKUP(MATCH($P$1,总课表!$FO$3:$GL$3,0),总课表!$FO$2:$GL$42,ROW(),0)))</f>
        <v/>
      </c>
      <c r="L26" s="29" t="str">
        <f>IF(HLOOKUP(MATCH($P$1,总课表!$GM$3:$HJ$3,0),总课表!$GM$2:$HJ$42,ROW(),0)=0,"",(HLOOKUP(MATCH($P$1,总课表!$GM$3:$HJ$3,0),总课表!$GM$2:$HJ$42,ROW(),0)))</f>
        <v/>
      </c>
      <c r="M26" s="29" t="str">
        <f>IF(HLOOKUP(MATCH($P$1,总课表!$HK$3:$IH$3,0),总课表!$HK$2:$IH$42,ROW(),0)=0,"",(HLOOKUP(MATCH($P$1,总课表!$HK$3:$IH$3,0),总课表!$HK$2:$IH$42,ROW(),0)))</f>
        <v/>
      </c>
      <c r="N26" s="29" t="str">
        <f>IF(HLOOKUP(MATCH($P$1,总课表!$II$3:$JF$3,0),总课表!$II$2:$JF$42,ROW(),0)=0,"",(HLOOKUP(MATCH($P$1,总课表!$II$3:$JF$3,0),总课表!$II$2:$JF$42,ROW(),0)))</f>
        <v/>
      </c>
      <c r="O26" s="30" t="str">
        <f>IF(HLOOKUP(MATCH($P$1,总课表!$JG$3:$KD$3,0),总课表!$JG$2:$KD$42,ROW(),0)=0,"",(HLOOKUP(MATCH($P$1,总课表!$JG$3:$KD$3,0),总课表!$JG$2:$KD$42,ROW(),0)))</f>
        <v/>
      </c>
    </row>
    <row r="27" spans="1:15" ht="29" customHeight="1" x14ac:dyDescent="0.4">
      <c r="A27" s="161"/>
      <c r="B27" s="180">
        <v>3</v>
      </c>
      <c r="C27" s="198" t="s">
        <v>193</v>
      </c>
      <c r="D27" s="16" t="str">
        <f>IF(HLOOKUP(MATCH($P$1,总课表!$C$3:$Z$3,0),总课表!$C$2:$Z$42,ROW(),0)=0,"",(HLOOKUP(MATCH($P$1,总课表!$C$3:$Z$3,0),总课表!$C$2:$Z$42,ROW(),0)))</f>
        <v/>
      </c>
      <c r="E27" s="17" t="str">
        <f>IF(HLOOKUP(MATCH($P$1,总课表!$AA$3:$AX$3,0),总课表!$AA$2:$AX$42,ROW(),0)=0,"",(HLOOKUP(MATCH($P$1,总课表!$AA$3:$AX$3,0),总课表!$AA$2:$AX$42,ROW(),0)))</f>
        <v/>
      </c>
      <c r="F27" s="27" t="str">
        <f>IF(HLOOKUP(MATCH($P$1,总课表!$AY$3:$BV$3,0),总课表!$AY$2:$BV$42,ROW(),0)=0,"",(HLOOKUP(MATCH($P$1,总课表!$AY$3:$BV$3,0),总课表!$AY$2:$BV$42,ROW(),0)))</f>
        <v>英语</v>
      </c>
      <c r="G27" s="27" t="str">
        <f>IF(HLOOKUP(MATCH($P$1,总课表!$BW$3:$CV$3,0),总课表!$BW$2:$CV$42,ROW(),0)=0,"",(HLOOKUP(MATCH($P$1,总课表!$BW$3:$CV$3,0),总课表!$BW$2:$CV$42,ROW(),0)))</f>
        <v/>
      </c>
      <c r="H27" s="28" t="str">
        <f>IF(HLOOKUP(MATCH($P$1,总课表!$CU$3:$DR$3,0),总课表!$CU$2:$DR$42,ROW(),0)=0,"",(HLOOKUP(MATCH($P$1,总课表!$CU$3:$DR$3,0),总课表!$CU$2:$DR$42,ROW(),0)))</f>
        <v/>
      </c>
      <c r="I27" s="19" t="str">
        <f>IF(HLOOKUP(MATCH($P$1,总课表!$DS$3:$EP$3,0),总课表!$DS$2:$EP$42,ROW(),0)=0,"",(HLOOKUP(MATCH($P$1,总课表!$DS$3:$EP$3,0),总课表!$DS$2:$EP$42,ROW(),0)))</f>
        <v/>
      </c>
      <c r="J27" s="28" t="str">
        <f>IF(HLOOKUP(MATCH($P$1,总课表!$EQ$3:$FN$3,0),总课表!$EQ$2:$FN$42,ROW(),0)=0,"",(HLOOKUP(MATCH($P$1,总课表!$EQ$3:$FN$3,0),总课表!$EQ$2:$FN$42,ROW(),0)))</f>
        <v/>
      </c>
      <c r="K27" s="16" t="str">
        <f>IF(HLOOKUP(MATCH($P$1,总课表!$FO$3:$GL$3,0),总课表!$FO$2:$GL$42,ROW(),0)=0,"",(HLOOKUP(MATCH($P$1,总课表!$FO$3:$GL$3,0),总课表!$FO$2:$GL$42,ROW(),0)))</f>
        <v/>
      </c>
      <c r="L27" s="27" t="str">
        <f>IF(HLOOKUP(MATCH($P$1,总课表!$GM$3:$HJ$3,0),总课表!$GM$2:$HJ$42,ROW(),0)=0,"",(HLOOKUP(MATCH($P$1,总课表!$GM$3:$HJ$3,0),总课表!$GM$2:$HJ$42,ROW(),0)))</f>
        <v/>
      </c>
      <c r="M27" s="27" t="str">
        <f>IF(HLOOKUP(MATCH($P$1,总课表!$HK$3:$IH$3,0),总课表!$HK$2:$IH$42,ROW(),0)=0,"",(HLOOKUP(MATCH($P$1,总课表!$HK$3:$IH$3,0),总课表!$HK$2:$IH$42,ROW(),0)))</f>
        <v>英语</v>
      </c>
      <c r="N27" s="27" t="str">
        <f>IF(HLOOKUP(MATCH($P$1,总课表!$II$3:$JF$3,0),总课表!$II$2:$JF$42,ROW(),0)=0,"",(HLOOKUP(MATCH($P$1,总课表!$II$3:$JF$3,0),总课表!$II$2:$JF$42,ROW(),0)))</f>
        <v/>
      </c>
      <c r="O27" s="28" t="str">
        <f>IF(HLOOKUP(MATCH($P$1,总课表!$JG$3:$KD$3,0),总课表!$JG$2:$KD$42,ROW(),0)=0,"",(HLOOKUP(MATCH($P$1,总课表!$JG$3:$KD$3,0),总课表!$JG$2:$KD$42,ROW(),0)))</f>
        <v/>
      </c>
    </row>
    <row r="28" spans="1:15" ht="29" customHeight="1" x14ac:dyDescent="0.4">
      <c r="A28" s="162"/>
      <c r="B28" s="177"/>
      <c r="C28" s="195"/>
      <c r="D28" s="20" t="str">
        <f>IF(HLOOKUP(MATCH($P$1,总课表!$C$3:$Z$3,0),总课表!$C$2:$Z$42,ROW(),0)=0,"",(HLOOKUP(MATCH($P$1,总课表!$C$3:$Z$3,0),总课表!$C$2:$Z$42,ROW(),0)))</f>
        <v/>
      </c>
      <c r="E28" s="21" t="str">
        <f>IF(HLOOKUP(MATCH($P$1,总课表!$AA$3:$AX$3,0),总课表!$AA$2:$AX$42,ROW(),0)=0,"",(HLOOKUP(MATCH($P$1,总课表!$AA$3:$AX$3,0),总课表!$AA$2:$AX$42,ROW(),0)))</f>
        <v/>
      </c>
      <c r="F28" s="29" t="str">
        <f>IF(HLOOKUP(MATCH($P$1,总课表!$AY$3:$BV$3,0),总课表!$AY$2:$BV$42,ROW(),0)=0,"",(HLOOKUP(MATCH($P$1,总课表!$AY$3:$BV$3,0),总课表!$AY$2:$BV$42,ROW(),0)))</f>
        <v>岳海霞</v>
      </c>
      <c r="G28" s="29" t="str">
        <f>IF(HLOOKUP(MATCH($P$1,总课表!$BW$3:$CV$3,0),总课表!$BW$2:$CV$42,ROW(),0)=0,"",(HLOOKUP(MATCH($P$1,总课表!$BW$3:$CV$3,0),总课表!$BW$2:$CV$42,ROW(),0)))</f>
        <v/>
      </c>
      <c r="H28" s="30" t="str">
        <f>IF(HLOOKUP(MATCH($P$1,总课表!$CU$3:$DR$3,0),总课表!$CU$2:$DR$42,ROW(),0)=0,"",(HLOOKUP(MATCH($P$1,总课表!$CU$3:$DR$3,0),总课表!$CU$2:$DR$42,ROW(),0)))</f>
        <v/>
      </c>
      <c r="I28" s="23" t="str">
        <f>IF(HLOOKUP(MATCH($P$1,总课表!$DS$3:$EP$3,0),总课表!$DS$2:$EP$42,ROW(),0)=0,"",(HLOOKUP(MATCH($P$1,总课表!$DS$3:$EP$3,0),总课表!$DS$2:$EP$42,ROW(),0)))</f>
        <v/>
      </c>
      <c r="J28" s="30" t="str">
        <f>IF(HLOOKUP(MATCH($P$1,总课表!$EQ$3:$FN$3,0),总课表!$EQ$2:$FN$42,ROW(),0)=0,"",(HLOOKUP(MATCH($P$1,总课表!$EQ$3:$FN$3,0),总课表!$EQ$2:$FN$42,ROW(),0)))</f>
        <v/>
      </c>
      <c r="K28" s="20" t="str">
        <f>IF(HLOOKUP(MATCH($P$1,总课表!$FO$3:$GL$3,0),总课表!$FO$2:$GL$42,ROW(),0)=0,"",(HLOOKUP(MATCH($P$1,总课表!$FO$3:$GL$3,0),总课表!$FO$2:$GL$42,ROW(),0)))</f>
        <v/>
      </c>
      <c r="L28" s="29" t="str">
        <f>IF(HLOOKUP(MATCH($P$1,总课表!$GM$3:$HJ$3,0),总课表!$GM$2:$HJ$42,ROW(),0)=0,"",(HLOOKUP(MATCH($P$1,总课表!$GM$3:$HJ$3,0),总课表!$GM$2:$HJ$42,ROW(),0)))</f>
        <v/>
      </c>
      <c r="M28" s="29" t="str">
        <f>IF(HLOOKUP(MATCH($P$1,总课表!$HK$3:$IH$3,0),总课表!$HK$2:$IH$42,ROW(),0)=0,"",(HLOOKUP(MATCH($P$1,总课表!$HK$3:$IH$3,0),总课表!$HK$2:$IH$42,ROW(),0)))</f>
        <v>岳海霞</v>
      </c>
      <c r="N28" s="29" t="str">
        <f>IF(HLOOKUP(MATCH($P$1,总课表!$II$3:$JF$3,0),总课表!$II$2:$JF$42,ROW(),0)=0,"",(HLOOKUP(MATCH($P$1,总课表!$II$3:$JF$3,0),总课表!$II$2:$JF$42,ROW(),0)))</f>
        <v/>
      </c>
      <c r="O28" s="30" t="str">
        <f>IF(HLOOKUP(MATCH($P$1,总课表!$JG$3:$KD$3,0),总课表!$JG$2:$KD$42,ROW(),0)=0,"",(HLOOKUP(MATCH($P$1,总课表!$JG$3:$KD$3,0),总课表!$JG$2:$KD$42,ROW(),0)))</f>
        <v/>
      </c>
    </row>
    <row r="29" spans="1:15" ht="29" customHeight="1" x14ac:dyDescent="0.4">
      <c r="A29" s="163"/>
      <c r="B29" s="168">
        <v>4</v>
      </c>
      <c r="C29" s="195" t="s">
        <v>194</v>
      </c>
      <c r="D29" s="16" t="str">
        <f>IF(HLOOKUP(MATCH($P$1,总课表!$C$3:$Z$3,0),总课表!$C$2:$Z$42,ROW(),0)=0,"",(HLOOKUP(MATCH($P$1,总课表!$C$3:$Z$3,0),总课表!$C$2:$Z$42,ROW(),0)))</f>
        <v/>
      </c>
      <c r="E29" s="27" t="str">
        <f>IF(HLOOKUP(MATCH($P$1,总课表!$AA$3:$AX$3,0),总课表!$AA$2:$AX$42,ROW(),0)=0,"",(HLOOKUP(MATCH($P$1,总课表!$AA$3:$AX$3,0),总课表!$AA$2:$AX$42,ROW(),0)))</f>
        <v/>
      </c>
      <c r="F29" s="27" t="str">
        <f>IF(HLOOKUP(MATCH($P$1,总课表!$AY$3:$BV$3,0),总课表!$AY$2:$BV$42,ROW(),0)=0,"",(HLOOKUP(MATCH($P$1,总课表!$AY$3:$BV$3,0),总课表!$AY$2:$BV$42,ROW(),0)))</f>
        <v/>
      </c>
      <c r="G29" s="27" t="str">
        <f>IF(HLOOKUP(MATCH($P$1,总课表!$BW$3:$CV$3,0),总课表!$BW$2:$CV$42,ROW(),0)=0,"",(HLOOKUP(MATCH($P$1,总课表!$BW$3:$CV$3,0),总课表!$BW$2:$CV$42,ROW(),0)))</f>
        <v/>
      </c>
      <c r="H29" s="45" t="str">
        <f>IF(HLOOKUP(MATCH($P$1,总课表!$CU$3:$DR$3,0),总课表!$CU$2:$DR$42,ROW(),0)=0,"",(HLOOKUP(MATCH($P$1,总课表!$CU$3:$DR$3,0),总课表!$CU$2:$DR$42,ROW(),0)))</f>
        <v/>
      </c>
      <c r="I29" s="16" t="str">
        <f>IF(HLOOKUP(MATCH($P$1,总课表!$DS$3:$EP$3,0),总课表!$DS$2:$EP$42,ROW(),0)=0,"",(HLOOKUP(MATCH($P$1,总课表!$DS$3:$EP$3,0),总课表!$DS$2:$EP$42,ROW(),0)))</f>
        <v/>
      </c>
      <c r="J29" s="28" t="str">
        <f>IF(HLOOKUP(MATCH($P$1,总课表!$EQ$3:$FN$3,0),总课表!$EQ$2:$FN$42,ROW(),0)=0,"",(HLOOKUP(MATCH($P$1,总课表!$EQ$3:$FN$3,0),总课表!$EQ$2:$FN$42,ROW(),0)))</f>
        <v/>
      </c>
      <c r="K29" s="16" t="str">
        <f>IF(HLOOKUP(MATCH($P$1,总课表!$FO$3:$GL$3,0),总课表!$FO$2:$GL$42,ROW(),0)=0,"",(HLOOKUP(MATCH($P$1,总课表!$FO$3:$GL$3,0),总课表!$FO$2:$GL$42,ROW(),0)))</f>
        <v/>
      </c>
      <c r="L29" s="27" t="str">
        <f>IF(HLOOKUP(MATCH($P$1,总课表!$GM$3:$HJ$3,0),总课表!$GM$2:$HJ$42,ROW(),0)=0,"",(HLOOKUP(MATCH($P$1,总课表!$GM$3:$HJ$3,0),总课表!$GM$2:$HJ$42,ROW(),0)))</f>
        <v/>
      </c>
      <c r="M29" s="27" t="str">
        <f>IF(HLOOKUP(MATCH($P$1,总课表!$HK$3:$IH$3,0),总课表!$HK$2:$IH$42,ROW(),0)=0,"",(HLOOKUP(MATCH($P$1,总课表!$HK$3:$IH$3,0),总课表!$HK$2:$IH$42,ROW(),0)))</f>
        <v/>
      </c>
      <c r="N29" s="27" t="str">
        <f>IF(HLOOKUP(MATCH($P$1,总课表!$II$3:$JF$3,0),总课表!$II$2:$JF$42,ROW(),0)=0,"",(HLOOKUP(MATCH($P$1,总课表!$II$3:$JF$3,0),总课表!$II$2:$JF$42,ROW(),0)))</f>
        <v/>
      </c>
      <c r="O29" s="28" t="str">
        <f>IF(HLOOKUP(MATCH($P$1,总课表!$JG$3:$KD$3,0),总课表!$JG$2:$KD$42,ROW(),0)=0,"",(HLOOKUP(MATCH($P$1,总课表!$JG$3:$KD$3,0),总课表!$JG$2:$KD$42,ROW(),0)))</f>
        <v/>
      </c>
    </row>
    <row r="30" spans="1:15" ht="29" customHeight="1" x14ac:dyDescent="0.4">
      <c r="A30" s="162"/>
      <c r="B30" s="181"/>
      <c r="C30" s="199"/>
      <c r="D30" s="40" t="str">
        <f>IF(HLOOKUP(MATCH($P$1,总课表!$C$3:$Z$3,0),总课表!$C$2:$Z$42,ROW(),0)=0,"",(HLOOKUP(MATCH($P$1,总课表!$C$3:$Z$3,0),总课表!$C$2:$Z$42,ROW(),0)))</f>
        <v/>
      </c>
      <c r="E30" s="25" t="str">
        <f>IF(HLOOKUP(MATCH($P$1,总课表!$AA$3:$AX$3,0),总课表!$AA$2:$AX$42,ROW(),0)=0,"",(HLOOKUP(MATCH($P$1,总课表!$AA$3:$AX$3,0),总课表!$AA$2:$AX$42,ROW(),0)))</f>
        <v/>
      </c>
      <c r="F30" s="41" t="str">
        <f>IF(HLOOKUP(MATCH($P$1,总课表!$AY$3:$BV$3,0),总课表!$AY$2:$BV$42,ROW(),0)=0,"",(HLOOKUP(MATCH($P$1,总课表!$AY$3:$BV$3,0),总课表!$AY$2:$BV$42,ROW(),0)))</f>
        <v/>
      </c>
      <c r="G30" s="41" t="str">
        <f>IF(HLOOKUP(MATCH($P$1,总课表!$BW$3:$CV$3,0),总课表!$BW$2:$CV$42,ROW(),0)=0,"",(HLOOKUP(MATCH($P$1,总课表!$BW$3:$CV$3,0),总课表!$BW$2:$CV$42,ROW(),0)))</f>
        <v/>
      </c>
      <c r="H30" s="42" t="str">
        <f>IF(HLOOKUP(MATCH($P$1,总课表!$CU$3:$DR$3,0),总课表!$CU$2:$DR$42,ROW(),0)=0,"",(HLOOKUP(MATCH($P$1,总课表!$CU$3:$DR$3,0),总课表!$CU$2:$DR$42,ROW(),0)))</f>
        <v/>
      </c>
      <c r="I30" s="24" t="str">
        <f>IF(HLOOKUP(MATCH($P$1,总课表!$DS$3:$EP$3,0),总课表!$DS$2:$EP$42,ROW(),0)=0,"",(HLOOKUP(MATCH($P$1,总课表!$DS$3:$EP$3,0),总课表!$DS$2:$EP$42,ROW(),0)))</f>
        <v/>
      </c>
      <c r="J30" s="42" t="str">
        <f>IF(HLOOKUP(MATCH($P$1,总课表!$EQ$3:$FN$3,0),总课表!$EQ$2:$FN$42,ROW(),0)=0,"",(HLOOKUP(MATCH($P$1,总课表!$EQ$3:$FN$3,0),总课表!$EQ$2:$FN$42,ROW(),0)))</f>
        <v/>
      </c>
      <c r="K30" s="40" t="str">
        <f>IF(HLOOKUP(MATCH($P$1,总课表!$FO$3:$GL$3,0),总课表!$FO$2:$GL$42,ROW(),0)=0,"",(HLOOKUP(MATCH($P$1,总课表!$FO$3:$GL$3,0),总课表!$FO$2:$GL$42,ROW(),0)))</f>
        <v/>
      </c>
      <c r="L30" s="41" t="str">
        <f>IF(HLOOKUP(MATCH($P$1,总课表!$GM$3:$HJ$3,0),总课表!$GM$2:$HJ$42,ROW(),0)=0,"",(HLOOKUP(MATCH($P$1,总课表!$GM$3:$HJ$3,0),总课表!$GM$2:$HJ$42,ROW(),0)))</f>
        <v/>
      </c>
      <c r="M30" s="41" t="str">
        <f>IF(HLOOKUP(MATCH($P$1,总课表!$HK$3:$IH$3,0),总课表!$HK$2:$IH$42,ROW(),0)=0,"",(HLOOKUP(MATCH($P$1,总课表!$HK$3:$IH$3,0),总课表!$HK$2:$IH$42,ROW(),0)))</f>
        <v/>
      </c>
      <c r="N30" s="41" t="str">
        <f>IF(HLOOKUP(MATCH($P$1,总课表!$II$3:$JF$3,0),总课表!$II$2:$JF$42,ROW(),0)=0,"",(HLOOKUP(MATCH($P$1,总课表!$II$3:$JF$3,0),总课表!$II$2:$JF$42,ROW(),0)))</f>
        <v/>
      </c>
      <c r="O30" s="42" t="str">
        <f>IF(HLOOKUP(MATCH($P$1,总课表!$JG$3:$KD$3,0),总课表!$JG$2:$KD$42,ROW(),0)=0,"",(HLOOKUP(MATCH($P$1,总课表!$JG$3:$KD$3,0),总课表!$JG$2:$KD$42,ROW(),0)))</f>
        <v/>
      </c>
    </row>
    <row r="31" spans="1:15" ht="29" customHeight="1" x14ac:dyDescent="0.4">
      <c r="A31" s="164" t="s">
        <v>195</v>
      </c>
      <c r="B31" s="168" t="s">
        <v>165</v>
      </c>
      <c r="C31" s="195" t="s">
        <v>196</v>
      </c>
      <c r="D31" s="16" t="str">
        <f>IF(HLOOKUP(MATCH($P$1,总课表!$C$3:$Z$3,0),总课表!$C$2:$Z$42,ROW(),0)=0,"",(HLOOKUP(MATCH($P$1,总课表!$C$3:$Z$3,0),总课表!$C$2:$Z$42,ROW(),0)))</f>
        <v/>
      </c>
      <c r="E31" s="27" t="str">
        <f>IF(HLOOKUP(MATCH($P$1,总课表!$AA$3:$AX$3,0),总课表!$AA$2:$AX$42,ROW(),0)=0,"",(HLOOKUP(MATCH($P$1,总课表!$AA$3:$AX$3,0),总课表!$AA$2:$AX$42,ROW(),0)))</f>
        <v>听力（英）</v>
      </c>
      <c r="F31" s="27" t="str">
        <f>IF(HLOOKUP(MATCH($P$1,总课表!$AY$3:$BV$3,0),总课表!$AY$2:$BV$42,ROW(),0)=0,"",(HLOOKUP(MATCH($P$1,总课表!$AY$3:$BV$3,0),总课表!$AY$2:$BV$42,ROW(),0)))</f>
        <v/>
      </c>
      <c r="G31" s="27" t="str">
        <f>IF(HLOOKUP(MATCH($P$1,总课表!$BW$3:$CV$3,0),总课表!$BW$2:$CV$42,ROW(),0)=0,"",(HLOOKUP(MATCH($P$1,总课表!$BW$3:$CV$3,0),总课表!$BW$2:$CV$42,ROW(),0)))</f>
        <v/>
      </c>
      <c r="H31" s="28" t="str">
        <f>IF(HLOOKUP(MATCH($P$1,总课表!$CU$3:$DR$3,0),总课表!$CU$2:$DR$42,ROW(),0)=0,"",(HLOOKUP(MATCH($P$1,总课表!$CU$3:$DR$3,0),总课表!$CU$2:$DR$42,ROW(),0)))</f>
        <v>练字（英）</v>
      </c>
      <c r="I31" s="16" t="str">
        <f>IF(HLOOKUP(MATCH($P$1,总课表!$DS$3:$EP$3,0),总课表!$DS$2:$EP$42,ROW(),0)=0,"",(HLOOKUP(MATCH($P$1,总课表!$DS$3:$EP$3,0),总课表!$DS$2:$EP$42,ROW(),0)))</f>
        <v/>
      </c>
      <c r="J31" s="28" t="str">
        <f>IF(HLOOKUP(MATCH($P$1,总课表!$EQ$3:$FN$3,0),总课表!$EQ$2:$FN$42,ROW(),0)=0,"",(HLOOKUP(MATCH($P$1,总课表!$EQ$3:$FN$3,0),总课表!$EQ$2:$FN$42,ROW(),0)))</f>
        <v>听力（英）</v>
      </c>
      <c r="K31" s="16" t="str">
        <f>IF(HLOOKUP(MATCH($P$1,总课表!$FO$3:$GL$3,0),总课表!$FO$2:$GL$42,ROW(),0)=0,"",(HLOOKUP(MATCH($P$1,总课表!$FO$3:$GL$3,0),总课表!$FO$2:$GL$42,ROW(),0)))</f>
        <v/>
      </c>
      <c r="L31" s="27" t="str">
        <f>IF(HLOOKUP(MATCH($P$1,总课表!$GM$3:$HJ$3,0),总课表!$GM$2:$HJ$42,ROW(),0)=0,"",(HLOOKUP(MATCH($P$1,总课表!$GM$3:$HJ$3,0),总课表!$GM$2:$HJ$42,ROW(),0)))</f>
        <v/>
      </c>
      <c r="M31" s="27" t="str">
        <f>IF(HLOOKUP(MATCH($P$1,总课表!$HK$3:$IH$3,0),总课表!$HK$2:$IH$42,ROW(),0)=0,"",(HLOOKUP(MATCH($P$1,总课表!$HK$3:$IH$3,0),总课表!$HK$2:$IH$42,ROW(),0)))</f>
        <v/>
      </c>
      <c r="N31" s="27" t="str">
        <f>IF(HLOOKUP(MATCH($P$1,总课表!$II$3:$JF$3,0),总课表!$II$2:$JF$42,ROW(),0)=0,"",(HLOOKUP(MATCH($P$1,总课表!$II$3:$JF$3,0),总课表!$II$2:$JF$42,ROW(),0)))</f>
        <v>练字（英）</v>
      </c>
      <c r="O31" s="28" t="str">
        <f>IF(HLOOKUP(MATCH($P$1,总课表!$JG$3:$KD$3,0),总课表!$JG$2:$KD$42,ROW(),0)=0,"",(HLOOKUP(MATCH($P$1,总课表!$JG$3:$KD$3,0),总课表!$JG$2:$KD$42,ROW(),0)))</f>
        <v/>
      </c>
    </row>
    <row r="32" spans="1:15" ht="29" customHeight="1" x14ac:dyDescent="0.4">
      <c r="A32" s="165"/>
      <c r="B32" s="182"/>
      <c r="C32" s="187"/>
      <c r="D32" s="20" t="str">
        <f>IF(HLOOKUP(MATCH($P$1,总课表!$C$3:$Z$3,0),总课表!$C$2:$Z$42,ROW(),0)=0,"",(HLOOKUP(MATCH($P$1,总课表!$C$3:$Z$3,0),总课表!$C$2:$Z$42,ROW(),0)))</f>
        <v/>
      </c>
      <c r="E32" s="21" t="str">
        <f>IF(HLOOKUP(MATCH($P$1,总课表!$AA$3:$AX$3,0),总课表!$AA$2:$AX$42,ROW(),0)=0,"",(HLOOKUP(MATCH($P$1,总课表!$AA$3:$AX$3,0),总课表!$AA$2:$AX$42,ROW(),0)))</f>
        <v>岳海霞</v>
      </c>
      <c r="F32" s="29" t="str">
        <f>IF(HLOOKUP(MATCH($P$1,总课表!$AY$3:$BV$3,0),总课表!$AY$2:$BV$42,ROW(),0)=0,"",(HLOOKUP(MATCH($P$1,总课表!$AY$3:$BV$3,0),总课表!$AY$2:$BV$42,ROW(),0)))</f>
        <v/>
      </c>
      <c r="G32" s="29" t="str">
        <f>IF(HLOOKUP(MATCH($P$1,总课表!$BW$3:$CV$3,0),总课表!$BW$2:$CV$42,ROW(),0)=0,"",(HLOOKUP(MATCH($P$1,总课表!$BW$3:$CV$3,0),总课表!$BW$2:$CV$42,ROW(),0)))</f>
        <v/>
      </c>
      <c r="H32" s="30" t="str">
        <f>IF(HLOOKUP(MATCH($P$1,总课表!$CU$3:$DR$3,0),总课表!$CU$2:$DR$42,ROW(),0)=0,"",(HLOOKUP(MATCH($P$1,总课表!$CU$3:$DR$3,0),总课表!$CU$2:$DR$42,ROW(),0)))</f>
        <v>岳海霞</v>
      </c>
      <c r="I32" s="23" t="str">
        <f>IF(HLOOKUP(MATCH($P$1,总课表!$DS$3:$EP$3,0),总课表!$DS$2:$EP$42,ROW(),0)=0,"",(HLOOKUP(MATCH($P$1,总课表!$DS$3:$EP$3,0),总课表!$DS$2:$EP$42,ROW(),0)))</f>
        <v/>
      </c>
      <c r="J32" s="30" t="str">
        <f>IF(HLOOKUP(MATCH($P$1,总课表!$EQ$3:$FN$3,0),总课表!$EQ$2:$FN$42,ROW(),0)=0,"",(HLOOKUP(MATCH($P$1,总课表!$EQ$3:$FN$3,0),总课表!$EQ$2:$FN$42,ROW(),0)))</f>
        <v>岳海霞</v>
      </c>
      <c r="K32" s="20" t="str">
        <f>IF(HLOOKUP(MATCH($P$1,总课表!$FO$3:$GL$3,0),总课表!$FO$2:$GL$42,ROW(),0)=0,"",(HLOOKUP(MATCH($P$1,总课表!$FO$3:$GL$3,0),总课表!$FO$2:$GL$42,ROW(),0)))</f>
        <v/>
      </c>
      <c r="L32" s="29" t="str">
        <f>IF(HLOOKUP(MATCH($P$1,总课表!$GM$3:$HJ$3,0),总课表!$GM$2:$HJ$42,ROW(),0)=0,"",(HLOOKUP(MATCH($P$1,总课表!$GM$3:$HJ$3,0),总课表!$GM$2:$HJ$42,ROW(),0)))</f>
        <v/>
      </c>
      <c r="M32" s="29" t="str">
        <f>IF(HLOOKUP(MATCH($P$1,总课表!$HK$3:$IH$3,0),总课表!$HK$2:$IH$42,ROW(),0)=0,"",(HLOOKUP(MATCH($P$1,总课表!$HK$3:$IH$3,0),总课表!$HK$2:$IH$42,ROW(),0)))</f>
        <v/>
      </c>
      <c r="N32" s="29" t="str">
        <f>IF(HLOOKUP(MATCH($P$1,总课表!$II$3:$JF$3,0),总课表!$II$2:$JF$42,ROW(),0)=0,"",(HLOOKUP(MATCH($P$1,总课表!$II$3:$JF$3,0),总课表!$II$2:$JF$42,ROW(),0)))</f>
        <v>岳海霞</v>
      </c>
      <c r="O32" s="30" t="str">
        <f>IF(HLOOKUP(MATCH($P$1,总课表!$JG$3:$KD$3,0),总课表!$JG$2:$KD$42,ROW(),0)=0,"",(HLOOKUP(MATCH($P$1,总课表!$JG$3:$KD$3,0),总课表!$JG$2:$KD$42,ROW(),0)))</f>
        <v/>
      </c>
    </row>
    <row r="33" spans="1:15" ht="29" customHeight="1" x14ac:dyDescent="0.4">
      <c r="A33" s="165"/>
      <c r="B33" s="183" t="s">
        <v>197</v>
      </c>
      <c r="C33" s="186" t="s">
        <v>198</v>
      </c>
      <c r="D33" s="19" t="str">
        <f>IF(HLOOKUP(MATCH($P$1,总课表!$C$3:$Z$3,0),总课表!$C$2:$Z$42,ROW(),0)=0,"",(HLOOKUP(MATCH($P$1,总课表!$C$3:$Z$3,0),总课表!$C$2:$Z$42,ROW(),0)))</f>
        <v/>
      </c>
      <c r="E33" s="17" t="str">
        <f>IF(HLOOKUP(MATCH($P$1,总课表!$AA$3:$AX$3,0),总课表!$AA$2:$AX$42,ROW(),0)=0,"",(HLOOKUP(MATCH($P$1,总课表!$AA$3:$AX$3,0),总课表!$AA$2:$AX$42,ROW(),0)))</f>
        <v/>
      </c>
      <c r="F33" s="17" t="str">
        <f>IF(HLOOKUP(MATCH($P$1,总课表!$AY$3:$BV$3,0),总课表!$AY$2:$BV$42,ROW(),0)=0,"",(HLOOKUP(MATCH($P$1,总课表!$AY$3:$BV$3,0),总课表!$AY$2:$BV$42,ROW(),0)))</f>
        <v>限时（英）</v>
      </c>
      <c r="G33" s="17" t="str">
        <f>IF(HLOOKUP(MATCH($P$1,总课表!$BW$3:$CV$3,0),总课表!$BW$2:$CV$42,ROW(),0)=0,"",(HLOOKUP(MATCH($P$1,总课表!$BW$3:$CV$3,0),总课表!$BW$2:$CV$42,ROW(),0)))</f>
        <v/>
      </c>
      <c r="H33" s="18" t="str">
        <f>IF(HLOOKUP(MATCH($P$1,总课表!$CU$3:$DR$3,0),总课表!$CU$2:$DR$42,ROW(),0)=0,"",(HLOOKUP(MATCH($P$1,总课表!$CU$3:$DR$3,0),总课表!$CU$2:$DR$42,ROW(),0)))</f>
        <v/>
      </c>
      <c r="I33" s="19" t="str">
        <f>IF(HLOOKUP(MATCH($P$1,总课表!$DS$3:$EP$3,0),总课表!$DS$2:$EP$42,ROW(),0)=0,"",(HLOOKUP(MATCH($P$1,总课表!$DS$3:$EP$3,0),总课表!$DS$2:$EP$42,ROW(),0)))</f>
        <v/>
      </c>
      <c r="J33" s="18" t="str">
        <f>IF(HLOOKUP(MATCH($P$1,总课表!$EQ$3:$FN$3,0),总课表!$EQ$2:$FN$42,ROW(),0)=0,"",(HLOOKUP(MATCH($P$1,总课表!$EQ$3:$FN$3,0),总课表!$EQ$2:$FN$42,ROW(),0)))</f>
        <v>自习（英）</v>
      </c>
      <c r="K33" s="16" t="str">
        <f>IF(HLOOKUP(MATCH($P$1,总课表!$FO$3:$GL$3,0),总课表!$FO$2:$GL$42,ROW(),0)=0,"",(HLOOKUP(MATCH($P$1,总课表!$FO$3:$GL$3,0),总课表!$FO$2:$GL$42,ROW(),0)))</f>
        <v/>
      </c>
      <c r="L33" s="27" t="str">
        <f>IF(HLOOKUP(MATCH($P$1,总课表!$GM$3:$HJ$3,0),总课表!$GM$2:$HJ$42,ROW(),0)=0,"",(HLOOKUP(MATCH($P$1,总课表!$GM$3:$HJ$3,0),总课表!$GM$2:$HJ$42,ROW(),0)))</f>
        <v/>
      </c>
      <c r="M33" s="27" t="str">
        <f>IF(HLOOKUP(MATCH($P$1,总课表!$HK$3:$IH$3,0),总课表!$HK$2:$IH$42,ROW(),0)=0,"",(HLOOKUP(MATCH($P$1,总课表!$HK$3:$IH$3,0),总课表!$HK$2:$IH$42,ROW(),0)))</f>
        <v>限时（英）</v>
      </c>
      <c r="N33" s="27" t="str">
        <f>IF(HLOOKUP(MATCH($P$1,总课表!$II$3:$JF$3,0),总课表!$II$2:$JF$42,ROW(),0)=0,"",(HLOOKUP(MATCH($P$1,总课表!$II$3:$JF$3,0),总课表!$II$2:$JF$42,ROW(),0)))</f>
        <v/>
      </c>
      <c r="O33" s="28" t="str">
        <f>IF(HLOOKUP(MATCH($P$1,总课表!$JG$3:$KD$3,0),总课表!$JG$2:$KD$42,ROW(),0)=0,"",(HLOOKUP(MATCH($P$1,总课表!$JG$3:$KD$3,0),总课表!$JG$2:$KD$42,ROW(),0)))</f>
        <v/>
      </c>
    </row>
    <row r="34" spans="1:15" ht="29" customHeight="1" x14ac:dyDescent="0.4">
      <c r="A34" s="165"/>
      <c r="B34" s="182"/>
      <c r="C34" s="187"/>
      <c r="D34" s="20" t="str">
        <f>IF(HLOOKUP(MATCH($P$1,总课表!$C$3:$Z$3,0),总课表!$C$2:$Z$42,ROW(),0)=0,"",(HLOOKUP(MATCH($P$1,总课表!$C$3:$Z$3,0),总课表!$C$2:$Z$42,ROW(),0)))</f>
        <v/>
      </c>
      <c r="E34" s="21" t="str">
        <f>IF(HLOOKUP(MATCH($P$1,总课表!$AA$3:$AX$3,0),总课表!$AA$2:$AX$42,ROW(),0)=0,"",(HLOOKUP(MATCH($P$1,总课表!$AA$3:$AX$3,0),总课表!$AA$2:$AX$42,ROW(),0)))</f>
        <v/>
      </c>
      <c r="F34" s="29" t="str">
        <f>IF(HLOOKUP(MATCH($P$1,总课表!$AY$3:$BV$3,0),总课表!$AY$2:$BV$42,ROW(),0)=0,"",(HLOOKUP(MATCH($P$1,总课表!$AY$3:$BV$3,0),总课表!$AY$2:$BV$42,ROW(),0)))</f>
        <v>岳海霞</v>
      </c>
      <c r="G34" s="29" t="str">
        <f>IF(HLOOKUP(MATCH($P$1,总课表!$BW$3:$CV$3,0),总课表!$BW$2:$CV$42,ROW(),0)=0,"",(HLOOKUP(MATCH($P$1,总课表!$BW$3:$CV$3,0),总课表!$BW$2:$CV$42,ROW(),0)))</f>
        <v/>
      </c>
      <c r="H34" s="30" t="str">
        <f>IF(HLOOKUP(MATCH($P$1,总课表!$CU$3:$DR$3,0),总课表!$CU$2:$DR$42,ROW(),0)=0,"",(HLOOKUP(MATCH($P$1,总课表!$CU$3:$DR$3,0),总课表!$CU$2:$DR$42,ROW(),0)))</f>
        <v/>
      </c>
      <c r="I34" s="23" t="str">
        <f>IF(HLOOKUP(MATCH($P$1,总课表!$DS$3:$EP$3,0),总课表!$DS$2:$EP$42,ROW(),0)=0,"",(HLOOKUP(MATCH($P$1,总课表!$DS$3:$EP$3,0),总课表!$DS$2:$EP$42,ROW(),0)))</f>
        <v/>
      </c>
      <c r="J34" s="30" t="str">
        <f>IF(HLOOKUP(MATCH($P$1,总课表!$EQ$3:$FN$3,0),总课表!$EQ$2:$FN$42,ROW(),0)=0,"",(HLOOKUP(MATCH($P$1,总课表!$EQ$3:$FN$3,0),总课表!$EQ$2:$FN$42,ROW(),0)))</f>
        <v>岳海霞</v>
      </c>
      <c r="K34" s="20" t="str">
        <f>IF(HLOOKUP(MATCH($P$1,总课表!$FO$3:$GL$3,0),总课表!$FO$2:$GL$42,ROW(),0)=0,"",(HLOOKUP(MATCH($P$1,总课表!$FO$3:$GL$3,0),总课表!$FO$2:$GL$42,ROW(),0)))</f>
        <v/>
      </c>
      <c r="L34" s="29" t="str">
        <f>IF(HLOOKUP(MATCH($P$1,总课表!$GM$3:$HJ$3,0),总课表!$GM$2:$HJ$42,ROW(),0)=0,"",(HLOOKUP(MATCH($P$1,总课表!$GM$3:$HJ$3,0),总课表!$GM$2:$HJ$42,ROW(),0)))</f>
        <v/>
      </c>
      <c r="M34" s="29" t="str">
        <f>IF(HLOOKUP(MATCH($P$1,总课表!$HK$3:$IH$3,0),总课表!$HK$2:$IH$42,ROW(),0)=0,"",(HLOOKUP(MATCH($P$1,总课表!$HK$3:$IH$3,0),总课表!$HK$2:$IH$42,ROW(),0)))</f>
        <v>岳海霞</v>
      </c>
      <c r="N34" s="29" t="str">
        <f>IF(HLOOKUP(MATCH($P$1,总课表!$II$3:$JF$3,0),总课表!$II$2:$JF$42,ROW(),0)=0,"",(HLOOKUP(MATCH($P$1,总课表!$II$3:$JF$3,0),总课表!$II$2:$JF$42,ROW(),0)))</f>
        <v/>
      </c>
      <c r="O34" s="30" t="str">
        <f>IF(HLOOKUP(MATCH($P$1,总课表!$JG$3:$KD$3,0),总课表!$JG$2:$KD$42,ROW(),0)=0,"",(HLOOKUP(MATCH($P$1,总课表!$JG$3:$KD$3,0),总课表!$JG$2:$KD$42,ROW(),0)))</f>
        <v/>
      </c>
    </row>
    <row r="35" spans="1:15" ht="29" customHeight="1" x14ac:dyDescent="0.4">
      <c r="A35" s="165"/>
      <c r="B35" s="168" t="s">
        <v>199</v>
      </c>
      <c r="C35" s="195" t="s">
        <v>200</v>
      </c>
      <c r="D35" s="19" t="str">
        <f>IF(HLOOKUP(MATCH($P$1,总课表!$C$3:$Z$3,0),总课表!$C$2:$Z$42,ROW(),0)=0,"",(HLOOKUP(MATCH($P$1,总课表!$C$3:$Z$3,0),总课表!$C$2:$Z$42,ROW(),0)))</f>
        <v/>
      </c>
      <c r="E35" s="17" t="str">
        <f>IF(HLOOKUP(MATCH($P$1,总课表!$AA$3:$AX$3,0),总课表!$AA$2:$AX$42,ROW(),0)=0,"",(HLOOKUP(MATCH($P$1,总课表!$AA$3:$AX$3,0),总课表!$AA$2:$AX$42,ROW(),0)))</f>
        <v/>
      </c>
      <c r="F35" s="17" t="str">
        <f>IF(HLOOKUP(MATCH($P$1,总课表!$AY$3:$BV$3,0),总课表!$AY$2:$BV$42,ROW(),0)=0,"",(HLOOKUP(MATCH($P$1,总课表!$AY$3:$BV$3,0),总课表!$AY$2:$BV$42,ROW(),0)))</f>
        <v/>
      </c>
      <c r="G35" s="17" t="str">
        <f>IF(HLOOKUP(MATCH($P$1,总课表!$BW$3:$CV$3,0),总课表!$BW$2:$CV$42,ROW(),0)=0,"",(HLOOKUP(MATCH($P$1,总课表!$BW$3:$CV$3,0),总课表!$BW$2:$CV$42,ROW(),0)))</f>
        <v/>
      </c>
      <c r="H35" s="18" t="str">
        <f>IF(HLOOKUP(MATCH($P$1,总课表!$CU$3:$DR$3,0),总课表!$CU$2:$DR$42,ROW(),0)=0,"",(HLOOKUP(MATCH($P$1,总课表!$CU$3:$DR$3,0),总课表!$CU$2:$DR$42,ROW(),0)))</f>
        <v/>
      </c>
      <c r="I35" s="19" t="str">
        <f>IF(HLOOKUP(MATCH($P$1,总课表!$DS$3:$EP$3,0),总课表!$DS$2:$EP$42,ROW(),0)=0,"",(HLOOKUP(MATCH($P$1,总课表!$DS$3:$EP$3,0),总课表!$DS$2:$EP$42,ROW(),0)))</f>
        <v/>
      </c>
      <c r="J35" s="18" t="str">
        <f>IF(HLOOKUP(MATCH($P$1,总课表!$EQ$3:$FN$3,0),总课表!$EQ$2:$FN$42,ROW(),0)=0,"",(HLOOKUP(MATCH($P$1,总课表!$EQ$3:$FN$3,0),总课表!$EQ$2:$FN$42,ROW(),0)))</f>
        <v>自习（英）</v>
      </c>
      <c r="K35" s="16" t="str">
        <f>IF(HLOOKUP(MATCH($P$1,总课表!$FO$3:$GL$3,0),总课表!$FO$2:$GL$42,ROW(),0)=0,"",(HLOOKUP(MATCH($P$1,总课表!$FO$3:$GL$3,0),总课表!$FO$2:$GL$42,ROW(),0)))</f>
        <v/>
      </c>
      <c r="L35" s="27" t="str">
        <f>IF(HLOOKUP(MATCH($P$1,总课表!$GM$3:$HJ$3,0),总课表!$GM$2:$HJ$42,ROW(),0)=0,"",(HLOOKUP(MATCH($P$1,总课表!$GM$3:$HJ$3,0),总课表!$GM$2:$HJ$42,ROW(),0)))</f>
        <v/>
      </c>
      <c r="M35" s="27" t="str">
        <f>IF(HLOOKUP(MATCH($P$1,总课表!$HK$3:$IH$3,0),总课表!$HK$2:$IH$42,ROW(),0)=0,"",(HLOOKUP(MATCH($P$1,总课表!$HK$3:$IH$3,0),总课表!$HK$2:$IH$42,ROW(),0)))</f>
        <v/>
      </c>
      <c r="N35" s="27" t="str">
        <f>IF(HLOOKUP(MATCH($P$1,总课表!$II$3:$JF$3,0),总课表!$II$2:$JF$42,ROW(),0)=0,"",(HLOOKUP(MATCH($P$1,总课表!$II$3:$JF$3,0),总课表!$II$2:$JF$42,ROW(),0)))</f>
        <v/>
      </c>
      <c r="O35" s="28" t="str">
        <f>IF(HLOOKUP(MATCH($P$1,总课表!$JG$3:$KD$3,0),总课表!$JG$2:$KD$42,ROW(),0)=0,"",(HLOOKUP(MATCH($P$1,总课表!$JG$3:$KD$3,0),总课表!$JG$2:$KD$42,ROW(),0)))</f>
        <v/>
      </c>
    </row>
    <row r="36" spans="1:15" ht="29" customHeight="1" x14ac:dyDescent="0.4">
      <c r="A36" s="166"/>
      <c r="B36" s="184"/>
      <c r="C36" s="188"/>
      <c r="D36" s="20" t="str">
        <f>IF(HLOOKUP(MATCH($P$1,总课表!$C$3:$Z$3,0),总课表!$C$2:$Z$42,ROW(),0)=0,"",(HLOOKUP(MATCH($P$1,总课表!$C$3:$Z$3,0),总课表!$C$2:$Z$42,ROW(),0)))</f>
        <v/>
      </c>
      <c r="E36" s="21" t="str">
        <f>IF(HLOOKUP(MATCH($P$1,总课表!$AA$3:$AX$3,0),总课表!$AA$2:$AX$42,ROW(),0)=0,"",(HLOOKUP(MATCH($P$1,总课表!$AA$3:$AX$3,0),总课表!$AA$2:$AX$42,ROW(),0)))</f>
        <v/>
      </c>
      <c r="F36" s="29" t="str">
        <f>IF(HLOOKUP(MATCH($P$1,总课表!$AY$3:$BV$3,0),总课表!$AY$2:$BV$42,ROW(),0)=0,"",(HLOOKUP(MATCH($P$1,总课表!$AY$3:$BV$3,0),总课表!$AY$2:$BV$42,ROW(),0)))</f>
        <v/>
      </c>
      <c r="G36" s="29" t="str">
        <f>IF(HLOOKUP(MATCH($P$1,总课表!$BW$3:$CV$3,0),总课表!$BW$2:$CV$42,ROW(),0)=0,"",(HLOOKUP(MATCH($P$1,总课表!$BW$3:$CV$3,0),总课表!$BW$2:$CV$42,ROW(),0)))</f>
        <v/>
      </c>
      <c r="H36" s="22" t="str">
        <f>IF(HLOOKUP(MATCH($P$1,总课表!$CU$3:$DR$3,0),总课表!$CU$2:$DR$42,ROW(),0)=0,"",(HLOOKUP(MATCH($P$1,总课表!$CU$3:$DR$3,0),总课表!$CU$2:$DR$42,ROW(),0)))</f>
        <v/>
      </c>
      <c r="I36" s="23" t="str">
        <f>IF(HLOOKUP(MATCH($P$1,总课表!$DS$3:$EP$3,0),总课表!$DS$2:$EP$42,ROW(),0)=0,"",(HLOOKUP(MATCH($P$1,总课表!$DS$3:$EP$3,0),总课表!$DS$2:$EP$42,ROW(),0)))</f>
        <v/>
      </c>
      <c r="J36" s="30" t="str">
        <f>IF(HLOOKUP(MATCH($P$1,总课表!$EQ$3:$FN$3,0),总课表!$EQ$2:$FN$42,ROW(),0)=0,"",(HLOOKUP(MATCH($P$1,总课表!$EQ$3:$FN$3,0),总课表!$EQ$2:$FN$42,ROW(),0)))</f>
        <v>岳海霞</v>
      </c>
      <c r="K36" s="20" t="str">
        <f>IF(HLOOKUP(MATCH($P$1,总课表!$FO$3:$GL$3,0),总课表!$FO$2:$GL$42,ROW(),0)=0,"",(HLOOKUP(MATCH($P$1,总课表!$FO$3:$GL$3,0),总课表!$FO$2:$GL$42,ROW(),0)))</f>
        <v/>
      </c>
      <c r="L36" s="29" t="str">
        <f>IF(HLOOKUP(MATCH($P$1,总课表!$GM$3:$HJ$3,0),总课表!$GM$2:$HJ$42,ROW(),0)=0,"",(HLOOKUP(MATCH($P$1,总课表!$GM$3:$HJ$3,0),总课表!$GM$2:$HJ$42,ROW(),0)))</f>
        <v/>
      </c>
      <c r="M36" s="29" t="str">
        <f>IF(HLOOKUP(MATCH($P$1,总课表!$HK$3:$IH$3,0),总课表!$HK$2:$IH$42,ROW(),0)=0,"",(HLOOKUP(MATCH($P$1,总课表!$HK$3:$IH$3,0),总课表!$HK$2:$IH$42,ROW(),0)))</f>
        <v/>
      </c>
      <c r="N36" s="29" t="str">
        <f>IF(HLOOKUP(MATCH($P$1,总课表!$II$3:$JF$3,0),总课表!$II$2:$JF$42,ROW(),0)=0,"",(HLOOKUP(MATCH($P$1,总课表!$II$3:$JF$3,0),总课表!$II$2:$JF$42,ROW(),0)))</f>
        <v/>
      </c>
      <c r="O36" s="30" t="str">
        <f>IF(HLOOKUP(MATCH($P$1,总课表!$JG$3:$KD$3,0),总课表!$JG$2:$KD$42,ROW(),0)=0,"",(HLOOKUP(MATCH($P$1,总课表!$JG$3:$KD$3,0),总课表!$JG$2:$KD$42,ROW(),0)))</f>
        <v/>
      </c>
    </row>
    <row r="37" spans="1:15" ht="29" customHeight="1" x14ac:dyDescent="0.4">
      <c r="A37" s="165"/>
      <c r="B37" s="168" t="s">
        <v>201</v>
      </c>
      <c r="C37" s="195" t="s">
        <v>202</v>
      </c>
      <c r="D37" s="16" t="str">
        <f>IF(HLOOKUP(MATCH($P$1,总课表!$C$3:$Z$3,0),总课表!$C$2:$Z$42,ROW(),0)=0,"",(HLOOKUP(MATCH($P$1,总课表!$C$3:$Z$3,0),总课表!$C$2:$Z$42,ROW(),0)))</f>
        <v/>
      </c>
      <c r="E37" s="17" t="str">
        <f>IF(HLOOKUP(MATCH($P$1,总课表!$AA$3:$AX$3,0),总课表!$AA$2:$AX$42,ROW(),0)=0,"",(HLOOKUP(MATCH($P$1,总课表!$AA$3:$AX$3,0),总课表!$AA$2:$AX$42,ROW(),0)))</f>
        <v/>
      </c>
      <c r="F37" s="27" t="str">
        <f>IF(HLOOKUP(MATCH($P$1,总课表!$AY$3:$BV$3,0),总课表!$AY$2:$BV$42,ROW(),0)=0,"",(HLOOKUP(MATCH($P$1,总课表!$AY$3:$BV$3,0),总课表!$AY$2:$BV$42,ROW(),0)))</f>
        <v/>
      </c>
      <c r="G37" s="27" t="str">
        <f>IF(HLOOKUP(MATCH($P$1,总课表!$BW$3:$CV$3,0),总课表!$BW$2:$CV$42,ROW(),0)=0,"",(HLOOKUP(MATCH($P$1,总课表!$BW$3:$CV$3,0),总课表!$BW$2:$CV$42,ROW(),0)))</f>
        <v>自习（英）</v>
      </c>
      <c r="H37" s="28" t="str">
        <f>IF(HLOOKUP(MATCH($P$1,总课表!$CU$3:$DR$3,0),总课表!$CU$2:$DR$42,ROW(),0)=0,"",(HLOOKUP(MATCH($P$1,总课表!$CU$3:$DR$3,0),总课表!$CU$2:$DR$42,ROW(),0)))</f>
        <v/>
      </c>
      <c r="I37" s="19" t="str">
        <f>IF(HLOOKUP(MATCH($P$1,总课表!$DS$3:$EP$3,0),总课表!$DS$2:$EP$42,ROW(),0)=0,"",(HLOOKUP(MATCH($P$1,总课表!$DS$3:$EP$3,0),总课表!$DS$2:$EP$42,ROW(),0)))</f>
        <v/>
      </c>
      <c r="J37" s="18" t="str">
        <f>IF(HLOOKUP(MATCH($P$1,总课表!$EQ$3:$FN$3,0),总课表!$EQ$2:$FN$42,ROW(),0)=0,"",(HLOOKUP(MATCH($P$1,总课表!$EQ$3:$FN$3,0),总课表!$EQ$2:$FN$42,ROW(),0)))</f>
        <v/>
      </c>
      <c r="K37" s="16" t="str">
        <f>IF(HLOOKUP(MATCH($P$1,总课表!$FO$3:$GL$3,0),总课表!$FO$2:$GL$42,ROW(),0)=0,"",(HLOOKUP(MATCH($P$1,总课表!$FO$3:$GL$3,0),总课表!$FO$2:$GL$42,ROW(),0)))</f>
        <v/>
      </c>
      <c r="L37" s="27" t="str">
        <f>IF(HLOOKUP(MATCH($P$1,总课表!$GM$3:$HJ$3,0),总课表!$GM$2:$HJ$42,ROW(),0)=0,"",(HLOOKUP(MATCH($P$1,总课表!$GM$3:$HJ$3,0),总课表!$GM$2:$HJ$42,ROW(),0)))</f>
        <v/>
      </c>
      <c r="M37" s="27" t="str">
        <f>IF(HLOOKUP(MATCH($P$1,总课表!$HK$3:$IH$3,0),总课表!$HK$2:$IH$42,ROW(),0)=0,"",(HLOOKUP(MATCH($P$1,总课表!$HK$3:$IH$3,0),总课表!$HK$2:$IH$42,ROW(),0)))</f>
        <v/>
      </c>
      <c r="N37" s="27" t="str">
        <f>IF(HLOOKUP(MATCH($P$1,总课表!$II$3:$JF$3,0),总课表!$II$2:$JF$42,ROW(),0)=0,"",(HLOOKUP(MATCH($P$1,总课表!$II$3:$JF$3,0),总课表!$II$2:$JF$42,ROW(),0)))</f>
        <v>自习（英）</v>
      </c>
      <c r="O37" s="28" t="str">
        <f>IF(HLOOKUP(MATCH($P$1,总课表!$JG$3:$KD$3,0),总课表!$JG$2:$KD$42,ROW(),0)=0,"",(HLOOKUP(MATCH($P$1,总课表!$JG$3:$KD$3,0),总课表!$JG$2:$KD$42,ROW(),0)))</f>
        <v/>
      </c>
    </row>
    <row r="38" spans="1:15" ht="29" customHeight="1" x14ac:dyDescent="0.4">
      <c r="A38" s="166"/>
      <c r="B38" s="184"/>
      <c r="C38" s="188"/>
      <c r="D38" s="20" t="str">
        <f>IF(HLOOKUP(MATCH($P$1,总课表!$C$3:$Z$3,0),总课表!$C$2:$Z$42,ROW(),0)=0,"",(HLOOKUP(MATCH($P$1,总课表!$C$3:$Z$3,0),总课表!$C$2:$Z$42,ROW(),0)))</f>
        <v/>
      </c>
      <c r="E38" s="21" t="str">
        <f>IF(HLOOKUP(MATCH($P$1,总课表!$AA$3:$AX$3,0),总课表!$AA$2:$AX$42,ROW(),0)=0,"",(HLOOKUP(MATCH($P$1,总课表!$AA$3:$AX$3,0),总课表!$AA$2:$AX$42,ROW(),0)))</f>
        <v/>
      </c>
      <c r="F38" s="29" t="str">
        <f>IF(HLOOKUP(MATCH($P$1,总课表!$AY$3:$BV$3,0),总课表!$AY$2:$BV$42,ROW(),0)=0,"",(HLOOKUP(MATCH($P$1,总课表!$AY$3:$BV$3,0),总课表!$AY$2:$BV$42,ROW(),0)))</f>
        <v/>
      </c>
      <c r="G38" s="29" t="str">
        <f>IF(HLOOKUP(MATCH($P$1,总课表!$BW$3:$CV$3,0),总课表!$BW$2:$CV$42,ROW(),0)=0,"",(HLOOKUP(MATCH($P$1,总课表!$BW$3:$CV$3,0),总课表!$BW$2:$CV$42,ROW(),0)))</f>
        <v>岳海霞</v>
      </c>
      <c r="H38" s="22" t="str">
        <f>IF(HLOOKUP(MATCH($P$1,总课表!$CU$3:$DR$3,0),总课表!$CU$2:$DR$42,ROW(),0)=0,"",(HLOOKUP(MATCH($P$1,总课表!$CU$3:$DR$3,0),总课表!$CU$2:$DR$42,ROW(),0)))</f>
        <v/>
      </c>
      <c r="I38" s="23" t="str">
        <f>IF(HLOOKUP(MATCH($P$1,总课表!$DS$3:$EP$3,0),总课表!$DS$2:$EP$42,ROW(),0)=0,"",(HLOOKUP(MATCH($P$1,总课表!$DS$3:$EP$3,0),总课表!$DS$2:$EP$42,ROW(),0)))</f>
        <v/>
      </c>
      <c r="J38" s="30" t="str">
        <f>IF(HLOOKUP(MATCH($P$1,总课表!$EQ$3:$FN$3,0),总课表!$EQ$2:$FN$42,ROW(),0)=0,"",(HLOOKUP(MATCH($P$1,总课表!$EQ$3:$FN$3,0),总课表!$EQ$2:$FN$42,ROW(),0)))</f>
        <v/>
      </c>
      <c r="K38" s="20" t="str">
        <f>IF(HLOOKUP(MATCH($P$1,总课表!$FO$3:$GL$3,0),总课表!$FO$2:$GL$42,ROW(),0)=0,"",(HLOOKUP(MATCH($P$1,总课表!$FO$3:$GL$3,0),总课表!$FO$2:$GL$42,ROW(),0)))</f>
        <v/>
      </c>
      <c r="L38" s="29" t="str">
        <f>IF(HLOOKUP(MATCH($P$1,总课表!$GM$3:$HJ$3,0),总课表!$GM$2:$HJ$42,ROW(),0)=0,"",(HLOOKUP(MATCH($P$1,总课表!$GM$3:$HJ$3,0),总课表!$GM$2:$HJ$42,ROW(),0)))</f>
        <v/>
      </c>
      <c r="M38" s="29" t="str">
        <f>IF(HLOOKUP(MATCH($P$1,总课表!$HK$3:$IH$3,0),总课表!$HK$2:$IH$42,ROW(),0)=0,"",(HLOOKUP(MATCH($P$1,总课表!$HK$3:$IH$3,0),总课表!$HK$2:$IH$42,ROW(),0)))</f>
        <v/>
      </c>
      <c r="N38" s="29" t="str">
        <f>IF(HLOOKUP(MATCH($P$1,总课表!$II$3:$JF$3,0),总课表!$II$2:$JF$42,ROW(),0)=0,"",(HLOOKUP(MATCH($P$1,总课表!$II$3:$JF$3,0),总课表!$II$2:$JF$42,ROW(),0)))</f>
        <v>岳海霞</v>
      </c>
      <c r="O38" s="30" t="str">
        <f>IF(HLOOKUP(MATCH($P$1,总课表!$JG$3:$KD$3,0),总课表!$JG$2:$KD$42,ROW(),0)=0,"",(HLOOKUP(MATCH($P$1,总课表!$JG$3:$KD$3,0),总课表!$JG$2:$KD$42,ROW(),0)))</f>
        <v/>
      </c>
    </row>
    <row r="39" spans="1:15" ht="29" customHeight="1" x14ac:dyDescent="0.4">
      <c r="A39" s="165"/>
      <c r="B39" s="168" t="s">
        <v>203</v>
      </c>
      <c r="C39" s="195" t="s">
        <v>204</v>
      </c>
      <c r="D39" s="16" t="str">
        <f>IF(HLOOKUP(MATCH($P$1,总课表!$C$3:$Z$3,0),总课表!$C$2:$Z$42,ROW(),0)=0,"",(HLOOKUP(MATCH($P$1,总课表!$C$3:$Z$3,0),总课表!$C$2:$Z$42,ROW(),0)))</f>
        <v>自习（英）</v>
      </c>
      <c r="E39" s="27" t="str">
        <f>IF(HLOOKUP(MATCH($P$1,总课表!$AA$3:$AX$3,0),总课表!$AA$2:$AX$42,ROW(),0)=0,"",(HLOOKUP(MATCH($P$1,总课表!$AA$3:$AX$3,0),总课表!$AA$2:$AX$42,ROW(),0)))</f>
        <v/>
      </c>
      <c r="F39" s="27" t="str">
        <f>IF(HLOOKUP(MATCH($P$1,总课表!$AY$3:$BV$3,0),总课表!$AY$2:$BV$42,ROW(),0)=0,"",(HLOOKUP(MATCH($P$1,总课表!$AY$3:$BV$3,0),总课表!$AY$2:$BV$42,ROW(),0)))</f>
        <v/>
      </c>
      <c r="G39" s="27" t="str">
        <f>IF(HLOOKUP(MATCH($P$1,总课表!$BW$3:$CV$3,0),总课表!$BW$2:$CV$42,ROW(),0)=0,"",(HLOOKUP(MATCH($P$1,总课表!$BW$3:$CV$3,0),总课表!$BW$2:$CV$42,ROW(),0)))</f>
        <v/>
      </c>
      <c r="H39" s="28" t="str">
        <f>IF(HLOOKUP(MATCH($P$1,总课表!$CU$3:$DR$3,0),总课表!$CU$2:$DR$42,ROW(),0)=0,"",(HLOOKUP(MATCH($P$1,总课表!$CU$3:$DR$3,0),总课表!$CU$2:$DR$42,ROW(),0)))</f>
        <v/>
      </c>
      <c r="I39" s="16" t="str">
        <f>IF(HLOOKUP(MATCH($P$1,总课表!$DS$3:$EP$3,0),总课表!$DS$2:$EP$42,ROW(),0)=0,"",(HLOOKUP(MATCH($P$1,总课表!$DS$3:$EP$3,0),总课表!$DS$2:$EP$42,ROW(),0)))</f>
        <v/>
      </c>
      <c r="J39" s="28" t="str">
        <f>IF(HLOOKUP(MATCH($P$1,总课表!$EQ$3:$FN$3,0),总课表!$EQ$2:$FN$42,ROW(),0)=0,"",(HLOOKUP(MATCH($P$1,总课表!$EQ$3:$FN$3,0),总课表!$EQ$2:$FN$42,ROW(),0)))</f>
        <v/>
      </c>
      <c r="K39" s="16" t="str">
        <f>IF(HLOOKUP(MATCH($P$1,总课表!$FO$3:$GL$3,0),总课表!$FO$2:$GL$42,ROW(),0)=0,"",(HLOOKUP(MATCH($P$1,总课表!$FO$3:$GL$3,0),总课表!$FO$2:$GL$42,ROW(),0)))</f>
        <v>自习（英）</v>
      </c>
      <c r="L39" s="27" t="str">
        <f>IF(HLOOKUP(MATCH($P$1,总课表!$GM$3:$HJ$3,0),总课表!$GM$2:$HJ$42,ROW(),0)=0,"",(HLOOKUP(MATCH($P$1,总课表!$GM$3:$HJ$3,0),总课表!$GM$2:$HJ$42,ROW(),0)))</f>
        <v/>
      </c>
      <c r="M39" s="27" t="str">
        <f>IF(HLOOKUP(MATCH($P$1,总课表!$HK$3:$IH$3,0),总课表!$HK$2:$IH$42,ROW(),0)=0,"",(HLOOKUP(MATCH($P$1,总课表!$HK$3:$IH$3,0),总课表!$HK$2:$IH$42,ROW(),0)))</f>
        <v/>
      </c>
      <c r="N39" s="27" t="str">
        <f>IF(HLOOKUP(MATCH($P$1,总课表!$II$3:$JF$3,0),总课表!$II$2:$JF$42,ROW(),0)=0,"",(HLOOKUP(MATCH($P$1,总课表!$II$3:$JF$3,0),总课表!$II$2:$JF$42,ROW(),0)))</f>
        <v/>
      </c>
      <c r="O39" s="28" t="str">
        <f>IF(HLOOKUP(MATCH($P$1,总课表!$JG$3:$KD$3,0),总课表!$JG$2:$KD$42,ROW(),0)=0,"",(HLOOKUP(MATCH($P$1,总课表!$JG$3:$KD$3,0),总课表!$JG$2:$KD$42,ROW(),0)))</f>
        <v/>
      </c>
    </row>
    <row r="40" spans="1:15" ht="29" customHeight="1" x14ac:dyDescent="0.4">
      <c r="A40" s="166"/>
      <c r="B40" s="185"/>
      <c r="C40" s="200"/>
      <c r="D40" s="50" t="str">
        <f>IF(HLOOKUP(MATCH($P$1,总课表!$C$3:$Z$3,0),总课表!$C$2:$Z$42,ROW(),0)=0,"",(HLOOKUP(MATCH($P$1,总课表!$C$3:$Z$3,0),总课表!$C$2:$Z$42,ROW(),0)))</f>
        <v>岳海霞</v>
      </c>
      <c r="E40" s="51" t="str">
        <f>IF(HLOOKUP(MATCH($P$1,总课表!$AA$3:$AX$3,0),总课表!$AA$2:$AX$42,ROW(),0)=0,"",(HLOOKUP(MATCH($P$1,总课表!$AA$3:$AX$3,0),总课表!$AA$2:$AHP$42,ROW(),0)))</f>
        <v/>
      </c>
      <c r="F40" s="52" t="str">
        <f>IF(HLOOKUP(MATCH($P$1,总课表!$AY$3:$BV$3,0),总课表!$AY$2:$BV$42,ROW(),0)=0,"",(HLOOKUP(MATCH($P$1,总课表!$AY$3:$BV$3,0),总课表!$AY$2:$BV$42,ROW(),0)))</f>
        <v/>
      </c>
      <c r="G40" s="52" t="str">
        <f>IF(HLOOKUP(MATCH($P$1,总课表!$BW$3:$CV$3,0),总课表!$BW$2:$CV$42,ROW(),0)=0,"",(HLOOKUP(MATCH($P$1,总课表!$BW$3:$CV$3,0),总课表!$BW$2:$CV$42,ROW(),0)))</f>
        <v/>
      </c>
      <c r="H40" s="53" t="str">
        <f>IF(HLOOKUP(MATCH($P$1,总课表!$CU$3:$DR$3,0),总课表!$CU$2:$DR$42,ROW(),0)=0,"",(HLOOKUP(MATCH($P$1,总课表!$CU$3:$DR$3,0),总课表!$CU$2:$DR$42,ROW(),0)))</f>
        <v/>
      </c>
      <c r="I40" s="54" t="str">
        <f>IF(HLOOKUP(MATCH($P$1,总课表!$DS$3:$EP$3,0),总课表!$DS$2:$EP$42,ROW(),0)=0,"",(HLOOKUP(MATCH($P$1,总课表!$DS$3:$EP$3,0),总课表!$DS$2:$EP$42,ROW(),0)))</f>
        <v/>
      </c>
      <c r="J40" s="56" t="str">
        <f>IF(HLOOKUP(MATCH($P$1,总课表!$EQ$3:$FN$3,0),总课表!$EQ$2:$FN$42,ROW(),0)=0,"",(HLOOKUP(MATCH($P$1,总课表!$EQ$3:$FN$3,0),总课表!$EQ$2:$FN$42,ROW(),0)))</f>
        <v/>
      </c>
      <c r="K40" s="50" t="str">
        <f>IF(HLOOKUP(MATCH($P$1,总课表!$FO$3:$GL$3,0),总课表!$FO$2:$GL$42,ROW(),0)=0,"",(HLOOKUP(MATCH($P$1,总课表!$FO$3:$GL$3,0),总课表!$FO$2:$GL$42,ROW(),0)))</f>
        <v>岳海霞</v>
      </c>
      <c r="L40" s="52" t="str">
        <f>IF(HLOOKUP(MATCH($P$1,总课表!$GM$3:$HJ$3,0),总课表!$GM$2:$HJ$42,ROW(),0)=0,"",(HLOOKUP(MATCH($P$1,总课表!$GM$3:$HJ$3,0),总课表!$GM$2:$HJ$42,ROW(),0)))</f>
        <v/>
      </c>
      <c r="M40" s="52" t="str">
        <f>IF(HLOOKUP(MATCH($P$1,总课表!$HK$3:$IH$3,0),总课表!$HK$2:$IH$42,ROW(),0)=0,"",(HLOOKUP(MATCH($P$1,总课表!$HK$3:$IH$3,0),总课表!$HK$2:$IH$42,ROW(),0)))</f>
        <v/>
      </c>
      <c r="N40" s="52" t="str">
        <f>IF(HLOOKUP(MATCH($P$1,总课表!$II$3:$JF$3,0),总课表!$II$2:$JF$42,ROW(),0)=0,"",(HLOOKUP(MATCH($P$1,总课表!$II$3:$JF$3,0),总课表!$II$2:$JF$42,ROW(),0)))</f>
        <v/>
      </c>
      <c r="O40" s="56" t="str">
        <f>IF(HLOOKUP(MATCH($P$1,总课表!$JG$3:$KD$3,0),总课表!$JG$2:$KD$42,ROW(),0)=0,"",(HLOOKUP(MATCH($P$1,总课表!$JG$3:$KD$3,0),总课表!$JG$2:$KD$42,ROW(),0)))</f>
        <v/>
      </c>
    </row>
    <row r="42" spans="1:15" ht="30" customHeight="1" x14ac:dyDescent="0.4">
      <c r="A42" s="5" t="s">
        <v>205</v>
      </c>
      <c r="B42" s="57" t="s">
        <v>206</v>
      </c>
      <c r="C42" s="5"/>
      <c r="D42" s="5" t="s">
        <v>207</v>
      </c>
    </row>
    <row r="43" spans="1:15" ht="30" customHeight="1" x14ac:dyDescent="0.4">
      <c r="A43" s="5">
        <v>101</v>
      </c>
      <c r="B43" s="57" t="s">
        <v>208</v>
      </c>
      <c r="C43" s="5"/>
      <c r="D43" s="5">
        <v>1</v>
      </c>
    </row>
    <row r="44" spans="1:15" ht="30" customHeight="1" x14ac:dyDescent="0.4">
      <c r="A44" s="5">
        <v>102</v>
      </c>
      <c r="B44" s="57" t="s">
        <v>209</v>
      </c>
      <c r="C44" s="5"/>
      <c r="D44" s="5">
        <v>2</v>
      </c>
    </row>
    <row r="45" spans="1:15" ht="30" customHeight="1" x14ac:dyDescent="0.4">
      <c r="A45" s="5">
        <v>103</v>
      </c>
      <c r="B45" s="57" t="s">
        <v>210</v>
      </c>
      <c r="C45" s="5"/>
      <c r="D45" s="5">
        <v>3</v>
      </c>
    </row>
    <row r="46" spans="1:15" ht="30" customHeight="1" x14ac:dyDescent="0.4">
      <c r="A46" s="5">
        <v>104</v>
      </c>
      <c r="B46" s="57" t="s">
        <v>211</v>
      </c>
      <c r="C46" s="5"/>
      <c r="D46" s="5">
        <v>4</v>
      </c>
    </row>
    <row r="47" spans="1:15" ht="30" customHeight="1" x14ac:dyDescent="0.4">
      <c r="A47" s="5">
        <v>201</v>
      </c>
      <c r="B47" s="57" t="s">
        <v>212</v>
      </c>
      <c r="C47" s="5"/>
      <c r="D47" s="5">
        <v>5</v>
      </c>
    </row>
    <row r="48" spans="1:15" ht="30" customHeight="1" x14ac:dyDescent="0.4">
      <c r="A48" s="5">
        <v>202</v>
      </c>
      <c r="B48" s="57" t="s">
        <v>213</v>
      </c>
      <c r="C48" s="5"/>
      <c r="D48" s="5">
        <v>6</v>
      </c>
    </row>
    <row r="49" spans="1:4" ht="30" customHeight="1" x14ac:dyDescent="0.4">
      <c r="A49" s="5">
        <v>203</v>
      </c>
      <c r="B49" s="57" t="s">
        <v>214</v>
      </c>
      <c r="C49" s="5"/>
      <c r="D49" s="5">
        <v>7</v>
      </c>
    </row>
    <row r="50" spans="1:4" ht="30" customHeight="1" x14ac:dyDescent="0.4">
      <c r="A50" s="5">
        <v>204</v>
      </c>
      <c r="B50" s="57" t="s">
        <v>215</v>
      </c>
      <c r="D50" s="5">
        <v>8</v>
      </c>
    </row>
    <row r="51" spans="1:4" ht="30" customHeight="1" x14ac:dyDescent="0.4">
      <c r="A51" s="5">
        <v>205</v>
      </c>
      <c r="B51" s="57" t="s">
        <v>216</v>
      </c>
      <c r="D51" s="5">
        <v>9</v>
      </c>
    </row>
    <row r="52" spans="1:4" ht="30" customHeight="1" x14ac:dyDescent="0.4">
      <c r="A52" s="5">
        <v>206</v>
      </c>
      <c r="B52" s="57" t="s">
        <v>217</v>
      </c>
      <c r="D52" s="5">
        <v>10</v>
      </c>
    </row>
    <row r="53" spans="1:4" ht="30" customHeight="1" x14ac:dyDescent="0.4">
      <c r="A53" s="5">
        <v>207</v>
      </c>
      <c r="B53" s="57" t="s">
        <v>218</v>
      </c>
      <c r="D53" s="5">
        <v>11</v>
      </c>
    </row>
    <row r="54" spans="1:4" ht="30" customHeight="1" x14ac:dyDescent="0.4">
      <c r="A54" s="5">
        <v>208</v>
      </c>
      <c r="B54" s="57" t="s">
        <v>219</v>
      </c>
      <c r="D54" s="5">
        <v>12</v>
      </c>
    </row>
    <row r="55" spans="1:4" ht="30" customHeight="1" x14ac:dyDescent="0.4">
      <c r="A55" s="5">
        <v>209</v>
      </c>
      <c r="B55" s="57" t="s">
        <v>220</v>
      </c>
      <c r="D55" s="5">
        <v>13</v>
      </c>
    </row>
    <row r="56" spans="1:4" ht="30" customHeight="1" x14ac:dyDescent="0.4">
      <c r="A56" s="5">
        <v>210</v>
      </c>
      <c r="B56" s="57" t="s">
        <v>221</v>
      </c>
      <c r="D56" s="5">
        <v>14</v>
      </c>
    </row>
    <row r="57" spans="1:4" ht="30" customHeight="1" x14ac:dyDescent="0.4">
      <c r="A57" s="5">
        <v>211</v>
      </c>
      <c r="B57" s="57" t="s">
        <v>222</v>
      </c>
      <c r="D57" s="5">
        <v>15</v>
      </c>
    </row>
    <row r="58" spans="1:4" ht="30" customHeight="1" x14ac:dyDescent="0.4">
      <c r="A58" s="57" t="s">
        <v>17</v>
      </c>
      <c r="B58" s="57" t="s">
        <v>17</v>
      </c>
      <c r="D58" s="5">
        <v>16</v>
      </c>
    </row>
    <row r="59" spans="1:4" ht="30" customHeight="1" x14ac:dyDescent="0.4">
      <c r="A59" s="57" t="s">
        <v>18</v>
      </c>
      <c r="B59" s="57" t="s">
        <v>18</v>
      </c>
      <c r="C59" s="5"/>
      <c r="D59" s="5">
        <v>17</v>
      </c>
    </row>
    <row r="60" spans="1:4" ht="30" customHeight="1" x14ac:dyDescent="0.4">
      <c r="A60" s="57" t="s">
        <v>19</v>
      </c>
      <c r="B60" s="57" t="s">
        <v>19</v>
      </c>
      <c r="C60" s="5"/>
      <c r="D60" s="5">
        <v>18</v>
      </c>
    </row>
    <row r="61" spans="1:4" ht="30" customHeight="1" x14ac:dyDescent="0.4">
      <c r="A61" s="57" t="s">
        <v>20</v>
      </c>
      <c r="B61" s="57" t="s">
        <v>20</v>
      </c>
      <c r="C61" s="5"/>
      <c r="D61" s="5">
        <v>19</v>
      </c>
    </row>
    <row r="62" spans="1:4" ht="30" customHeight="1" x14ac:dyDescent="0.4">
      <c r="A62" s="57" t="s">
        <v>21</v>
      </c>
      <c r="B62" s="57" t="s">
        <v>21</v>
      </c>
      <c r="C62" s="5"/>
      <c r="D62" s="5">
        <v>20</v>
      </c>
    </row>
    <row r="63" spans="1:4" ht="30" customHeight="1" x14ac:dyDescent="0.4">
      <c r="A63" s="57" t="s">
        <v>22</v>
      </c>
      <c r="B63" s="57" t="s">
        <v>22</v>
      </c>
      <c r="C63" s="5"/>
      <c r="D63" s="5">
        <v>21</v>
      </c>
    </row>
    <row r="64" spans="1:4" ht="30" customHeight="1" x14ac:dyDescent="0.4">
      <c r="A64" s="57" t="s">
        <v>23</v>
      </c>
      <c r="B64" s="57" t="s">
        <v>23</v>
      </c>
      <c r="C64" s="5"/>
      <c r="D64" s="5">
        <v>22</v>
      </c>
    </row>
    <row r="65" spans="1:4" ht="30" customHeight="1" x14ac:dyDescent="0.4">
      <c r="A65" s="57" t="s">
        <v>24</v>
      </c>
      <c r="B65" s="57" t="s">
        <v>24</v>
      </c>
      <c r="D65" s="5">
        <v>23</v>
      </c>
    </row>
    <row r="66" spans="1:4" ht="30" customHeight="1" x14ac:dyDescent="0.4">
      <c r="A66" s="57" t="s">
        <v>25</v>
      </c>
      <c r="B66" s="57" t="s">
        <v>25</v>
      </c>
      <c r="D66" s="5">
        <v>24</v>
      </c>
    </row>
    <row r="67" spans="1:4" ht="30" customHeight="1" x14ac:dyDescent="0.4">
      <c r="A67" s="5"/>
      <c r="B67" s="57"/>
      <c r="D67" s="5"/>
    </row>
    <row r="68" spans="1:4" ht="30" customHeight="1" x14ac:dyDescent="0.4">
      <c r="A68" s="5"/>
      <c r="B68" s="57"/>
      <c r="D68" s="5"/>
    </row>
    <row r="69" spans="1:4" ht="30" customHeight="1" x14ac:dyDescent="0.4">
      <c r="A69" s="5"/>
      <c r="B69" s="57"/>
      <c r="D69" s="5"/>
    </row>
    <row r="70" spans="1:4" ht="30" customHeight="1" x14ac:dyDescent="0.4">
      <c r="A70" s="5"/>
      <c r="B70" s="57"/>
      <c r="D70" s="5"/>
    </row>
  </sheetData>
  <protectedRanges>
    <protectedRange sqref="P1" name="区域1"/>
  </protectedRanges>
  <mergeCells count="45">
    <mergeCell ref="C31:C32"/>
    <mergeCell ref="C33:C34"/>
    <mergeCell ref="C35:C36"/>
    <mergeCell ref="C37:C38"/>
    <mergeCell ref="C39:C40"/>
    <mergeCell ref="B33:B34"/>
    <mergeCell ref="B35:B36"/>
    <mergeCell ref="B37:B38"/>
    <mergeCell ref="B39:B40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A31:A40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A1:O1"/>
    <mergeCell ref="A2:B2"/>
    <mergeCell ref="A3:A6"/>
    <mergeCell ref="A7:A18"/>
    <mergeCell ref="A19:A30"/>
    <mergeCell ref="C27:C28"/>
    <mergeCell ref="C29:C30"/>
    <mergeCell ref="D11:O12"/>
  </mergeCells>
  <phoneticPr fontId="17" type="noConversion"/>
  <dataValidations count="2">
    <dataValidation type="list" allowBlank="1" showInputMessage="1" showErrorMessage="1" sqref="I1:O1" xr:uid="{00000000-0002-0000-0200-000000000000}">
      <formula1>$A$43:$A$65</formula1>
    </dataValidation>
    <dataValidation type="list" allowBlank="1" showInputMessage="1" showErrorMessage="1" sqref="P1" xr:uid="{00000000-0002-0000-0200-000001000000}">
      <formula1>$A$43:$A$66</formula1>
    </dataValidation>
  </dataValidations>
  <printOptions horizontalCentered="1"/>
  <pageMargins left="0.25138888888888899" right="0.25138888888888899" top="0.75138888888888899" bottom="0.75138888888888899" header="0.29861111111111099" footer="0.29861111111111099"/>
  <pageSetup paperSize="9" scale="62" orientation="portrait"/>
  <headerFooter alignWithMargins="0">
    <oddHeader>&amp;L&amp;G&amp;R2026.4.20</oddHeader>
  </headerFooter>
  <drawing r:id="rId1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Y163"/>
  <sheetViews>
    <sheetView tabSelected="1" zoomScale="90" zoomScaleNormal="90" workbookViewId="0">
      <selection activeCell="P1" sqref="P1"/>
    </sheetView>
  </sheetViews>
  <sheetFormatPr defaultColWidth="9" defaultRowHeight="40.5" customHeight="1" x14ac:dyDescent="0.4"/>
  <cols>
    <col min="1" max="1" width="5.875" style="10" customWidth="1"/>
    <col min="2" max="2" width="6.5625" style="10" customWidth="1"/>
    <col min="3" max="3" width="12.875" style="10" customWidth="1"/>
    <col min="4" max="15" width="8.0625" style="10" customWidth="1"/>
    <col min="16" max="16" width="9.625" style="10" customWidth="1"/>
    <col min="17" max="17" width="11.25" style="10" customWidth="1"/>
    <col min="18" max="16384" width="9" style="10"/>
  </cols>
  <sheetData>
    <row r="1" spans="1:18" ht="64.05" customHeight="1" x14ac:dyDescent="0.4">
      <c r="A1" s="203" t="str">
        <f>"2026年春季学期"&amp;$P$1&amp;"老师课表"</f>
        <v>2026年春季学期王露老师课表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61" t="s">
        <v>38</v>
      </c>
    </row>
    <row r="2" spans="1:18" ht="40.5" customHeight="1" x14ac:dyDescent="0.4">
      <c r="A2" s="204" t="s">
        <v>223</v>
      </c>
      <c r="B2" s="205"/>
      <c r="C2" s="62" t="s">
        <v>171</v>
      </c>
      <c r="D2" s="63" t="s">
        <v>172</v>
      </c>
      <c r="E2" s="64" t="s">
        <v>173</v>
      </c>
      <c r="F2" s="64" t="s">
        <v>174</v>
      </c>
      <c r="G2" s="14" t="s">
        <v>175</v>
      </c>
      <c r="H2" s="15" t="s">
        <v>176</v>
      </c>
      <c r="I2" s="13" t="s">
        <v>177</v>
      </c>
      <c r="J2" s="15" t="s">
        <v>178</v>
      </c>
      <c r="K2" s="65" t="s">
        <v>172</v>
      </c>
      <c r="L2" s="64" t="s">
        <v>173</v>
      </c>
      <c r="M2" s="64" t="s">
        <v>174</v>
      </c>
      <c r="N2" s="14" t="s">
        <v>175</v>
      </c>
      <c r="O2" s="15" t="s">
        <v>176</v>
      </c>
    </row>
    <row r="3" spans="1:18" ht="23" customHeight="1" x14ac:dyDescent="0.4">
      <c r="A3" s="206" t="s">
        <v>157</v>
      </c>
      <c r="B3" s="216" t="s">
        <v>158</v>
      </c>
      <c r="C3" s="186" t="s">
        <v>179</v>
      </c>
      <c r="D3" s="66" t="str">
        <f>IF(ISERROR(HLOOKUP(MATCH($P$1,总课表!C5:Z5,0),总课表!$C$2:$Z$41,ROW(),0)),"",(HLOOKUP(MATCH($P$1,总课表!C5:Z5,0),总课表!$C$2:$Z$41,ROW(),0)))</f>
        <v/>
      </c>
      <c r="E3" s="67" t="str">
        <f>IF(ISERROR(HLOOKUP(MATCH($P$1,总课表!AA5:AX5,0),总课表!$AA$2:$AX$41,ROW(),0)),"",(HLOOKUP(MATCH($P$1,总课表!AA5:AX5,0),总课表!$AA$2:$AX$41,ROW(),0)))</f>
        <v/>
      </c>
      <c r="F3" s="68" t="str">
        <f>IF(ISERROR(HLOOKUP(MATCH($P$1,总课表!AY5:BV5,0),总课表!$AY$2:$BV$41,ROW(),0)),"",(HLOOKUP(MATCH($P$1,总课表!AY5:BV5,0),总课表!$AY$2:$BV$41,ROW(),0)))</f>
        <v/>
      </c>
      <c r="G3" s="69" t="str">
        <f>IF(ISERROR(HLOOKUP(MATCH($P$1,总课表!BW5:CV5,0),总课表!$BW$2:$CV$41,ROW(),0)),"",(HLOOKUP(MATCH($P$1,总课表!BW5:CV5,0),总课表!$BW$2:$CV$41,ROW(),0)))</f>
        <v/>
      </c>
      <c r="H3" s="70" t="str">
        <f>IF(ISERROR(HLOOKUP(MATCH($P$1,总课表!CU5:DR5,0),总课表!$CU$2:$DR$41,ROW(),0)),"",(HLOOKUP(MATCH($P$1,总课表!CU5:DR5,0),总课表!$CU$2:$DR$41,ROW(),0)))</f>
        <v/>
      </c>
      <c r="I3" s="69" t="str">
        <f>IF(ISERROR(HLOOKUP(MATCH($P$1,总课表!DS5:EP5,0),总课表!$DS$2:$EP$41,ROW(),0)),"",(HLOOKUP(MATCH($P$1,总课表!DS5:EP5,0),总课表!$DS$2:$EP$41,ROW(),0)))</f>
        <v/>
      </c>
      <c r="J3" s="70" t="str">
        <f>IF(ISERROR(HLOOKUP(MATCH($P$1,总课表!EQ5:FN5,0),总课表!$EQ$2:$FN$41,ROW(),0)),"",(HLOOKUP(MATCH($P$1,总课表!EQ5:FN5,0),总课表!$EQ$2:$FN$41,ROW(),0)))</f>
        <v/>
      </c>
      <c r="K3" s="71" t="str">
        <f>IF(ISERROR(HLOOKUP(MATCH($P$1,总课表!FO5:GL5,0),总课表!$B$2:$GL$41,ROW(),0)),"",(HLOOKUP(MATCH($P$1,总课表!FO5:GL5,0),总课表!$FO$2:$GL$41,ROW(),0)))</f>
        <v/>
      </c>
      <c r="L3" s="67" t="str">
        <f>IF(ISERROR(HLOOKUP(MATCH($P$1,总课表!GM5:HJ5,0),总课表!$GM$2:$HJ$41,ROW(),0)),"",(HLOOKUP(MATCH($P$1,总课表!GM5:HJ5,0),总课表!$GM$2:$HJ$41,ROW(),0)))</f>
        <v/>
      </c>
      <c r="M3" s="68" t="str">
        <f>IF(ISERROR(HLOOKUP(MATCH($P$1,总课表!HK5:IH5,0),总课表!$HK$2:$IH$41,ROW(),0)),"",(HLOOKUP(MATCH($P$1,总课表!HK5:IH5,0),总课表!$HK$2:$IH$41,ROW(),0)))</f>
        <v/>
      </c>
      <c r="N3" s="69" t="str">
        <f>IF(ISERROR(HLOOKUP(MATCH($P$1,总课表!II5:JF5,0),总课表!$II$2:$JF$41,ROW(),0)),"",(HLOOKUP(MATCH($P$1,总课表!II5:JF5,0),总课表!$II$2:$JF$41,ROW(),0)))</f>
        <v/>
      </c>
      <c r="O3" s="70" t="str">
        <f>IF(ISERROR(HLOOKUP(MATCH($P$1,总课表!JG5:KD5,0),总课表!$JG$2:$KD$41,ROW(),0)),"",(HLOOKUP(MATCH($P$1,总课表!JG5:KD5,0),总课表!$JG$2:$KD$41,ROW(),0)))</f>
        <v/>
      </c>
      <c r="R3" s="36"/>
    </row>
    <row r="4" spans="1:18" ht="23" customHeight="1" x14ac:dyDescent="0.4">
      <c r="A4" s="207"/>
      <c r="B4" s="217"/>
      <c r="C4" s="187"/>
      <c r="D4" s="72" t="str">
        <f>IF(ISERROR(HLOOKUP(MATCH($P$1,总课表!C5:Z5,0),总课表!$C$2:$Z$3,2,0)),"",(HLOOKUP(MATCH($P$1,总课表!C5:Z5,0),总课表!$C$2:$Z$3,2,0)))</f>
        <v/>
      </c>
      <c r="E4" s="73" t="str">
        <f>IF(ISERROR(HLOOKUP(MATCH($P$1,总课表!AA5:AX5,0),总课表!$AA$2:$AX$3,2,0)),"",(HLOOKUP(MATCH($P$1,总课表!AA5:AX5,0),总课表!$AA$2:$AX$3,2,0)))</f>
        <v/>
      </c>
      <c r="F4" s="73" t="str">
        <f>IF(ISERROR(HLOOKUP(MATCH($P$1,总课表!AY5:BV5,0),总课表!$AY$2:$BV$3,2,0)),"",(HLOOKUP(MATCH($P$1,总课表!AY5:BV5,0),总课表!$AY$2:$BV$3,2,0)))</f>
        <v/>
      </c>
      <c r="G4" s="73" t="str">
        <f>IF(ISERROR(HLOOKUP(MATCH($P$1,总课表!BW5:CV5,0),总课表!$BW$2:$CV$3,2,0)),"",(HLOOKUP(MATCH($P$1,总课表!BW5:CV5,0),总课表!$BW$2:$CV$3,2,0)))</f>
        <v/>
      </c>
      <c r="H4" s="74" t="str">
        <f>IF(ISERROR(HLOOKUP(MATCH($P$1,总课表!CU5:DR5,0),总课表!$CU$2:$DR$3,2,0)),"",(HLOOKUP(MATCH($P$1,总课表!CU5:DR5,0),总课表!$CU$2:$DR$3,2,0)))</f>
        <v/>
      </c>
      <c r="I4" s="73" t="str">
        <f>IF(ISERROR(HLOOKUP(MATCH($P$1,总课表!DS5:EP5,0),总课表!$DS$2:$EP$3,2,0)),"",(HLOOKUP(MATCH($P$1,总课表!DS5:EP5,0),总课表!$DS$2:$EP$3,2,0)))</f>
        <v/>
      </c>
      <c r="J4" s="74" t="str">
        <f>IF(ISERROR(HLOOKUP(MATCH($P$1,总课表!EQ5:FN5,0),总课表!$EQ$2:$FN$3,2,0)),"",(HLOOKUP(MATCH($P$1,总课表!EQ5:FN5,0),总课表!$EQ$2:$FN$3,2,0)))</f>
        <v/>
      </c>
      <c r="K4" s="75" t="str">
        <f>IF(ISERROR(HLOOKUP(MATCH($P$1,总课表!FO5:GL5,0),总课表!$FO$2:$GL$3,2,0)),"",(HLOOKUP(MATCH($P$1,总课表!FO5:GL5,0),总课表!$FO$2:$GL$3,2,0)))</f>
        <v/>
      </c>
      <c r="L4" s="73" t="str">
        <f>IF(ISERROR(HLOOKUP(MATCH($P$1,总课表!GM5:HJ5,0),总课表!$GM$2:$HJ$3,2,0)),"",(HLOOKUP(MATCH($P$1,总课表!GM5:HJ5,0),总课表!$GM$2:$HJ$3,2,0)))</f>
        <v/>
      </c>
      <c r="M4" s="73" t="str">
        <f>IF(ISERROR(HLOOKUP(MATCH($P$1,总课表!HK5:IH5,0),总课表!$HK$2:$IH$3,2,0)),"",(HLOOKUP(MATCH($P$1,总课表!HK5:IH5,0),总课表!$HK$2:$IH$3,2,0)))</f>
        <v/>
      </c>
      <c r="N4" s="73" t="str">
        <f>IF(ISERROR(HLOOKUP(MATCH($P$1,总课表!II5:JF5,0),总课表!$II$2:$JF$3,2,0)),"",(HLOOKUP(MATCH($P$1,总课表!II5:JF5,0),总课表!$II$2:$JF$3,2,0)))</f>
        <v/>
      </c>
      <c r="O4" s="74" t="str">
        <f>IF(ISERROR(HLOOKUP(MATCH($P$1,总课表!JG5:KD5,0),总课表!$JG$2:$KD$3,2,0)),"",(HLOOKUP(MATCH($P$1,总课表!JG5:KD5,0),总课表!$JG$2:$KD$3,2,0)))</f>
        <v/>
      </c>
    </row>
    <row r="5" spans="1:18" ht="23" customHeight="1" x14ac:dyDescent="0.4">
      <c r="A5" s="207"/>
      <c r="B5" s="218" t="s">
        <v>159</v>
      </c>
      <c r="C5" s="188" t="s">
        <v>180</v>
      </c>
      <c r="D5" s="66" t="str">
        <f>IF(ISERROR(HLOOKUP(MATCH($P$1,总课表!C7:Z7,0),总课表!$C$2:$Z$41,ROW(),0)),"",(HLOOKUP(MATCH($P$1,总课表!C7:Z7,0),总课表!$C$2:$Z$41,ROW(),0)))</f>
        <v/>
      </c>
      <c r="E5" s="67" t="str">
        <f>IF(ISERROR(HLOOKUP(MATCH($P$1,总课表!AA7:AX7,0),总课表!$AA$2:$AX$41,ROW(),0)),"",(HLOOKUP(MATCH($P$1,总课表!AA7:AX7,0),总课表!$AA$2:$AX$41,ROW(),0)))</f>
        <v/>
      </c>
      <c r="F5" s="68" t="str">
        <f>IF(ISERROR(HLOOKUP(MATCH($P$1,总课表!AY7:BV7,0),总课表!$AY$2:$BV$41,ROW(),0)),"",(HLOOKUP(MATCH($P$1,总课表!AY7:BV7,0),总课表!$AY$2:$BV$41,ROW(),0)))</f>
        <v/>
      </c>
      <c r="G5" s="69" t="str">
        <f>IF(ISERROR(HLOOKUP(MATCH($P$1,总课表!BW7:CV7,0),总课表!$BW$2:$CV$41,ROW(),0)),"",(HLOOKUP(MATCH($P$1,总课表!BW7:CV7,0),总课表!$BW$2:$CV$41,ROW(),0)))</f>
        <v/>
      </c>
      <c r="H5" s="70" t="str">
        <f>IF(ISERROR(HLOOKUP(MATCH($P$1,总课表!CU7:DR7,0),总课表!$CU$2:$DR$41,ROW(),0)),"",(HLOOKUP(MATCH($P$1,总课表!CU7:DR7,0),总课表!$CU$2:$DR$41,ROW(),0)))</f>
        <v/>
      </c>
      <c r="I5" s="69" t="str">
        <f>IF(ISERROR(HLOOKUP(MATCH($P$1,总课表!DS7:EP7,0),总课表!$DS$2:$EP$41,ROW(),0)),"",(HLOOKUP(MATCH($P$1,总课表!DS7:EP7,0),总课表!$DS$2:$EP$41,ROW(),0)))</f>
        <v/>
      </c>
      <c r="J5" s="70" t="str">
        <f>IF(ISERROR(HLOOKUP(MATCH($P$1,总课表!EQ7:FN7,0),总课表!$EQ$2:$FN$41,ROW(),0)),"",(HLOOKUP(MATCH($P$1,总课表!EQ7:FN7,0),总课表!$EQ$2:$FN$41,ROW(),0)))</f>
        <v/>
      </c>
      <c r="K5" s="71" t="str">
        <f>IF(ISERROR(HLOOKUP(MATCH($P$1,总课表!FO7:GL7,0),总课表!$B$2:$GL$41,ROW(),0)),"",(HLOOKUP(MATCH($P$1,总课表!FO7:GL7,0),总课表!$FO$2:$GL$41,ROW(),0)))</f>
        <v/>
      </c>
      <c r="L5" s="67" t="str">
        <f>IF(ISERROR(HLOOKUP(MATCH($P$1,总课表!GM7:HJ7,0),总课表!$GM$2:$HJ$41,ROW(),0)),"",(HLOOKUP(MATCH($P$1,总课表!GM7:HJ7,0),总课表!$GM$2:$HJ$41,ROW(),0)))</f>
        <v/>
      </c>
      <c r="M5" s="68" t="str">
        <f>IF(ISERROR(HLOOKUP(MATCH($P$1,总课表!HK7:IH7,0),总课表!$HK$2:$IH$41,ROW(),0)),"",(HLOOKUP(MATCH($P$1,总课表!HK7:IH7,0),总课表!$HK$2:$IH$41,ROW(),0)))</f>
        <v/>
      </c>
      <c r="N5" s="69" t="str">
        <f>IF(ISERROR(HLOOKUP(MATCH($P$1,总课表!II7:JF7,0),总课表!$II$2:$JF$41,ROW(),0)),"",(HLOOKUP(MATCH($P$1,总课表!II7:JF7,0),总课表!$II$2:$JF$41,ROW(),0)))</f>
        <v/>
      </c>
      <c r="O5" s="70" t="str">
        <f>IF(ISERROR(HLOOKUP(MATCH($P$1,总课表!JG7:KD7,0),总课表!$JG$2:$KD$41,ROW(),0)),"",(HLOOKUP(MATCH($P$1,总课表!JG7:KD7,0),总课表!$JG$2:$KD$41,ROW(),0)))</f>
        <v/>
      </c>
    </row>
    <row r="6" spans="1:18" ht="23" customHeight="1" x14ac:dyDescent="0.4">
      <c r="A6" s="208"/>
      <c r="B6" s="219"/>
      <c r="C6" s="189"/>
      <c r="D6" s="76" t="str">
        <f>IF(ISERROR(HLOOKUP(MATCH($P$1,总课表!C7:Z7,0),总课表!$C$2:$Z$3,2,0)),"",(HLOOKUP(MATCH($P$1,总课表!C7:Z7,0),总课表!$C$2:$Z$3,2,0)))</f>
        <v/>
      </c>
      <c r="E6" s="77" t="str">
        <f>IF(ISERROR(HLOOKUP(MATCH($P$1,总课表!AA7:AX7,0),总课表!$AA$2:$AX$3,2,0)),"",(HLOOKUP(MATCH($P$1,总课表!AA7:AX7,0),总课表!$AA$2:$AX$3,2,0)))</f>
        <v/>
      </c>
      <c r="F6" s="77" t="str">
        <f>IF(ISERROR(HLOOKUP(MATCH($P$1,总课表!AY7:BV7,0),总课表!$AY$2:$BV$3,2,0)),"",(HLOOKUP(MATCH($P$1,总课表!AY7:BV7,0),总课表!$AY$2:$BV$3,2,0)))</f>
        <v/>
      </c>
      <c r="G6" s="77" t="str">
        <f>IF(ISERROR(HLOOKUP(MATCH($P$1,总课表!BW7:CV7,0),总课表!$BW$2:$CV$3,2,0)),"",(HLOOKUP(MATCH($P$1,总课表!BW7:CV7,0),总课表!$BW$2:$CV$3,2,0)))</f>
        <v/>
      </c>
      <c r="H6" s="78" t="str">
        <f>IF(ISERROR(HLOOKUP(MATCH($P$1,总课表!CU7:DR7,0),总课表!$CU$2:$DR$3,2,0)),"",(HLOOKUP(MATCH($P$1,总课表!CU7:DR7,0),总课表!$CU$2:$DR$3,2,0)))</f>
        <v/>
      </c>
      <c r="I6" s="77" t="str">
        <f>IF(ISERROR(HLOOKUP(MATCH($P$1,总课表!DS7:EP7,0),总课表!$DS$2:$EP$3,2,0)),"",(HLOOKUP(MATCH($P$1,总课表!DS7:EP7,0),总课表!$DS$2:$EP$3,2,0)))</f>
        <v/>
      </c>
      <c r="J6" s="78" t="str">
        <f>IF(ISERROR(HLOOKUP(MATCH($P$1,总课表!EQ7:FN7,0),总课表!$EQ$2:$FN$3,2,0)),"",(HLOOKUP(MATCH($P$1,总课表!EQ7:FN7,0),总课表!$EQ$2:$FN$3,2,0)))</f>
        <v/>
      </c>
      <c r="K6" s="79" t="str">
        <f>IF(ISERROR(HLOOKUP(MATCH($P$1,总课表!FO7:GL7,0),总课表!$FO$2:$GL$3,2,0)),"",(HLOOKUP(MATCH($P$1,总课表!FO7:GL7,0),总课表!$FO$2:$GL$3,2,0)))</f>
        <v/>
      </c>
      <c r="L6" s="77" t="str">
        <f>IF(ISERROR(HLOOKUP(MATCH($P$1,总课表!GM7:HJ7,0),总课表!$GM$2:$HJ$3,2,0)),"",(HLOOKUP(MATCH($P$1,总课表!GM7:HJ7,0),总课表!$GM$2:$HJ$3,2,0)))</f>
        <v/>
      </c>
      <c r="M6" s="77" t="str">
        <f>IF(ISERROR(HLOOKUP(MATCH($P$1,总课表!HK7:IH7,0),总课表!$HK$2:$IH$3,2,0)),"",(HLOOKUP(MATCH($P$1,总课表!HK7:IH7,0),总课表!$HK$2:$IH$3,2,0)))</f>
        <v/>
      </c>
      <c r="N6" s="77" t="str">
        <f>IF(ISERROR(HLOOKUP(MATCH($P$1,总课表!II7:JF7,0),总课表!$II$2:$JF$3,2,0)),"",(HLOOKUP(MATCH($P$1,总课表!II7:JF7,0),总课表!$II$2:$JF$3,2,0)))</f>
        <v/>
      </c>
      <c r="O6" s="78" t="str">
        <f>IF(ISERROR(HLOOKUP(MATCH($P$1,总课表!JG7:KD7,0),总课表!$JG$2:$KD$3,2,0)),"",(HLOOKUP(MATCH($P$1,总课表!JG7:KD7,0),总课表!$JG$2:$KD$3,2,0)))</f>
        <v/>
      </c>
    </row>
    <row r="7" spans="1:18" ht="23" customHeight="1" x14ac:dyDescent="0.4">
      <c r="A7" s="209" t="s">
        <v>181</v>
      </c>
      <c r="B7" s="220">
        <v>1</v>
      </c>
      <c r="C7" s="190" t="s">
        <v>182</v>
      </c>
      <c r="D7" s="80" t="str">
        <f>IF(ISERROR(HLOOKUP(MATCH($P$1,总课表!C9:Z9,0),总课表!$C$2:$Z$41,ROW(),0)),"",(HLOOKUP(MATCH($P$1,总课表!C9:Z9,0),总课表!$C$2:$Z$41,ROW(),0)))</f>
        <v/>
      </c>
      <c r="E7" s="81" t="str">
        <f>IF(ISERROR(HLOOKUP(MATCH($P$1,总课表!AA9:AX9,0),总课表!$AA$2:$AX$41,ROW(),0)),"",(HLOOKUP(MATCH($P$1,总课表!AA9:AX9,0),总课表!$AA$2:$AX$41,ROW(),0)))</f>
        <v/>
      </c>
      <c r="F7" s="82" t="str">
        <f>IF(ISERROR(HLOOKUP(MATCH($P$1,总课表!AY9:BV9,0),总课表!$AY$2:$BV$41,ROW(),0)),"",(HLOOKUP(MATCH($P$1,总课表!AY9:BV9,0),总课表!$AY$2:$BV$41,ROW(),0)))</f>
        <v/>
      </c>
      <c r="G7" s="83" t="str">
        <f>IF(ISERROR(HLOOKUP(MATCH($P$1,总课表!BW9:CV9,0),总课表!$BW$2:$CV$41,ROW(),0)),"",(HLOOKUP(MATCH($P$1,总课表!BW9:CV9,0),总课表!$BW$2:$CV$41,ROW(),0)))</f>
        <v/>
      </c>
      <c r="H7" s="84" t="str">
        <f>IF(ISERROR(HLOOKUP(MATCH($P$1,总课表!CU9:DR9,0),总课表!$CU$2:$DR$41,ROW(),0)),"",(HLOOKUP(MATCH($P$1,总课表!CU9:DR9,0),总课表!$CU$2:$DR$41,ROW(),0)))</f>
        <v/>
      </c>
      <c r="I7" s="83" t="str">
        <f>IF(ISERROR(HLOOKUP(MATCH($P$1,总课表!DS9:EP9,0),总课表!$DS$2:$EP$41,ROW(),0)),"",(HLOOKUP(MATCH($P$1,总课表!DS9:EP9,0),总课表!$DS$2:$EP$41,ROW(),0)))</f>
        <v/>
      </c>
      <c r="J7" s="84" t="str">
        <f>IF(ISERROR(HLOOKUP(MATCH($P$1,总课表!EQ9:FN9,0),总课表!$EQ$2:$FN$41,ROW(),0)),"",(HLOOKUP(MATCH($P$1,总课表!EQ9:FN9,0),总课表!$EQ$2:$FN$41,ROW(),0)))</f>
        <v/>
      </c>
      <c r="K7" s="85" t="str">
        <f>IF(ISERROR(HLOOKUP(MATCH($P$1,总课表!FO9:GL9,0),总课表!$B$2:$GL$41,ROW(),0)),"",(HLOOKUP(MATCH($P$1,总课表!FO9:GL9,0),总课表!$FO$2:$GL$41,ROW(),0)))</f>
        <v/>
      </c>
      <c r="L7" s="81" t="str">
        <f>IF(ISERROR(HLOOKUP(MATCH($P$1,总课表!GM9:HJ9,0),总课表!$GM$2:$HJ$41,ROW(),0)),"",(HLOOKUP(MATCH($P$1,总课表!GM9:HJ9,0),总课表!$GM$2:$HJ$41,ROW(),0)))</f>
        <v/>
      </c>
      <c r="M7" s="82" t="str">
        <f>IF(ISERROR(HLOOKUP(MATCH($P$1,总课表!HK9:IH9,0),总课表!$HK$2:$IH$41,ROW(),0)),"",(HLOOKUP(MATCH($P$1,总课表!HK9:IH9,0),总课表!$HK$2:$IH$41,ROW(),0)))</f>
        <v/>
      </c>
      <c r="N7" s="83" t="str">
        <f>IF(ISERROR(HLOOKUP(MATCH($P$1,总课表!II9:JF9,0),总课表!$II$2:$JF$41,ROW(),0)),"",(HLOOKUP(MATCH($P$1,总课表!II9:JF9,0),总课表!$II$2:$JF$41,ROW(),0)))</f>
        <v/>
      </c>
      <c r="O7" s="84" t="str">
        <f>IF(ISERROR(HLOOKUP(MATCH($P$1,总课表!JG9:KD9,0),总课表!$JG$2:$KD$41,ROW(),0)),"",(HLOOKUP(MATCH($P$1,总课表!JG9:KD9,0),总课表!$JG$2:$KD$41,ROW(),0)))</f>
        <v/>
      </c>
    </row>
    <row r="8" spans="1:18" ht="24" customHeight="1" x14ac:dyDescent="0.4">
      <c r="A8" s="156"/>
      <c r="B8" s="221"/>
      <c r="C8" s="187"/>
      <c r="D8" s="72" t="str">
        <f>IF(ISERROR(HLOOKUP(MATCH($P$1,总课表!C9:Z9,0),总课表!$C$2:$Z$3,2,0)),"",(HLOOKUP(MATCH($P$1,总课表!C9:Z9,0),总课表!$C$2:$Z$3,2,0)))</f>
        <v/>
      </c>
      <c r="E8" s="73" t="str">
        <f>IF(ISERROR(HLOOKUP(MATCH($P$1,总课表!AA9:AX9,0),总课表!$AA$2:$AX$3,2,0)),"",(HLOOKUP(MATCH($P$1,总课表!AA9:AX9,0),总课表!$AA$2:$AX$3,2,0)))</f>
        <v/>
      </c>
      <c r="F8" s="73" t="str">
        <f>IF(ISERROR(HLOOKUP(MATCH($P$1,总课表!AY9:BV9,0),总课表!$AY$2:$BV$3,2,0)),"",(HLOOKUP(MATCH($P$1,总课表!AY9:BV9,0),总课表!$AY$2:$BV$3,2,0)))</f>
        <v/>
      </c>
      <c r="G8" s="73" t="str">
        <f>IF(ISERROR(HLOOKUP(MATCH($P$1,总课表!BW9:CV9,0),总课表!$BW$2:$CV$3,2,0)),"",(HLOOKUP(MATCH($P$1,总课表!BW9:CV9,0),总课表!$BW$2:$CV$3,2,0)))</f>
        <v/>
      </c>
      <c r="H8" s="74" t="str">
        <f>IF(ISERROR(HLOOKUP(MATCH($P$1,总课表!CU9:DR9,0),总课表!$CU$2:$DR$3,2,0)),"",(HLOOKUP(MATCH($P$1,总课表!CU9:DR9,0),总课表!$CU$2:$DR$3,2,0)))</f>
        <v/>
      </c>
      <c r="I8" s="73" t="str">
        <f>IF(ISERROR(HLOOKUP(MATCH($P$1,总课表!DS9:EP9,0),总课表!$DS$2:$EP$3,2,0)),"",(HLOOKUP(MATCH($P$1,总课表!DS9:EP9,0),总课表!$DS$2:$EP$3,2,0)))</f>
        <v/>
      </c>
      <c r="J8" s="74" t="str">
        <f>IF(ISERROR(HLOOKUP(MATCH($P$1,总课表!EQ9:FN9,0),总课表!$EQ$2:$FN$3,2,0)),"",(HLOOKUP(MATCH($P$1,总课表!EQ9:FN9,0),总课表!$EQ$2:$FN$3,2,0)))</f>
        <v/>
      </c>
      <c r="K8" s="75" t="str">
        <f>IF(ISERROR(HLOOKUP(MATCH($P$1,总课表!FO9:GL9,0),总课表!$FO$2:$GL$3,2,0)),"",(HLOOKUP(MATCH($P$1,总课表!FO9:GL9,0),总课表!$FO$2:$GL$3,2,0)))</f>
        <v/>
      </c>
      <c r="L8" s="73" t="str">
        <f>IF(ISERROR(HLOOKUP(MATCH($P$1,总课表!GM9:HJ9,0),总课表!$GM$2:$HJ$3,2,0)),"",(HLOOKUP(MATCH($P$1,总课表!GM9:HJ9,0),总课表!$GM$2:$HJ$3,2,0)))</f>
        <v/>
      </c>
      <c r="M8" s="73" t="str">
        <f>IF(ISERROR(HLOOKUP(MATCH($P$1,总课表!HK9:IH9,0),总课表!$HK$2:$IH$3,2,0)),"",(HLOOKUP(MATCH($P$1,总课表!HK9:IH9,0),总课表!$HK$2:$IH$3,2,0)))</f>
        <v/>
      </c>
      <c r="N8" s="73" t="str">
        <f>IF(ISERROR(HLOOKUP(MATCH($P$1,总课表!II9:JF9,0),总课表!$II$2:$JF$3,2,0)),"",(HLOOKUP(MATCH($P$1,总课表!II9:JF9,0),总课表!$II$2:$JF$3,2,0)))</f>
        <v/>
      </c>
      <c r="O8" s="74" t="str">
        <f>IF(ISERROR(HLOOKUP(MATCH($P$1,总课表!JG9:KD9,0),总课表!$JG$2:$KD$3,2,0)),"",(HLOOKUP(MATCH($P$1,总课表!JG9:KD9,0),总课表!$JG$2:$KD$3,2,0)))</f>
        <v/>
      </c>
    </row>
    <row r="9" spans="1:18" ht="24" customHeight="1" x14ac:dyDescent="0.4">
      <c r="A9" s="156"/>
      <c r="B9" s="222">
        <v>2</v>
      </c>
      <c r="C9" s="186" t="s">
        <v>183</v>
      </c>
      <c r="D9" s="66" t="str">
        <f>IF(ISERROR(HLOOKUP(MATCH($P$1,总课表!C11:Z11,0),总课表!$C$2:$Z$41,ROW(),0)),"",(HLOOKUP(MATCH($P$1,总课表!C11:Z11,0),总课表!$C$2:$Z$41,ROW(),0)))</f>
        <v/>
      </c>
      <c r="E9" s="67" t="str">
        <f>IF(ISERROR(HLOOKUP(MATCH($P$1,总课表!AA11:AX11,0),总课表!$AA$2:$AX$41,ROW(),0)),"",(HLOOKUP(MATCH($P$1,总课表!AA11:AX11,0),总课表!$AA$2:$AX$41,ROW(),0)))</f>
        <v/>
      </c>
      <c r="F9" s="68" t="str">
        <f>IF(ISERROR(HLOOKUP(MATCH($P$1,总课表!AY11:BV11,0),总课表!$AY$2:$BV$41,ROW(),0)),"",(HLOOKUP(MATCH($P$1,总课表!AY11:BV11,0),总课表!$AY$2:$BV$41,ROW(),0)))</f>
        <v/>
      </c>
      <c r="G9" s="69" t="str">
        <f>IF(ISERROR(HLOOKUP(MATCH($P$1,总课表!BW11:CV11,0),总课表!$BW$2:$CV$41,ROW(),0)),"",(HLOOKUP(MATCH($P$1,总课表!BW11:CV11,0),总课表!$BW$2:$CV$41,ROW(),0)))</f>
        <v>数学</v>
      </c>
      <c r="H9" s="70" t="str">
        <f>IF(ISERROR(HLOOKUP(MATCH($P$1,总课表!CU11:DR11,0),总课表!$CU$2:$DR$41,ROW(),0)),"",(HLOOKUP(MATCH($P$1,总课表!CU11:DR11,0),总课表!$CU$2:$DR$41,ROW(),0)))</f>
        <v/>
      </c>
      <c r="I9" s="69" t="str">
        <f>IF(ISERROR(HLOOKUP(MATCH($P$1,总课表!DS11:EP11,0),总课表!$DS$2:$EP$41,ROW(),0)),"",(HLOOKUP(MATCH($P$1,总课表!DS11:EP11,0),总课表!$DS$2:$EP$41,ROW(),0)))</f>
        <v/>
      </c>
      <c r="J9" s="70" t="str">
        <f>IF(ISERROR(HLOOKUP(MATCH($P$1,总课表!EQ11:FN11,0),总课表!$EQ$2:$FN$41,ROW(),0)),"",(HLOOKUP(MATCH($P$1,总课表!EQ11:FN11,0),总课表!$EQ$2:$FN$41,ROW(),0)))</f>
        <v/>
      </c>
      <c r="K9" s="71" t="str">
        <f>IF(ISERROR(HLOOKUP(MATCH($P$1,总课表!FO11:GL11,0),总课表!$B$2:$GL$41,ROW(),0)),"",(HLOOKUP(MATCH($P$1,总课表!FO11:GL11,0),总课表!$FO$2:$GL$41,ROW(),0)))</f>
        <v/>
      </c>
      <c r="L9" s="67" t="str">
        <f>IF(ISERROR(HLOOKUP(MATCH($P$1,总课表!GM11:HJ11,0),总课表!$GM$2:$HJ$41,ROW(),0)),"",(HLOOKUP(MATCH($P$1,总课表!GM11:HJ11,0),总课表!$GM$2:$HJ$41,ROW(),0)))</f>
        <v/>
      </c>
      <c r="M9" s="68" t="str">
        <f>IF(ISERROR(HLOOKUP(MATCH($P$1,总课表!HK11:IH11,0),总课表!$HK$2:$IH$41,ROW(),0)),"",(HLOOKUP(MATCH($P$1,总课表!HK11:IH11,0),总课表!$HK$2:$IH$41,ROW(),0)))</f>
        <v/>
      </c>
      <c r="N9" s="69" t="str">
        <f>IF(ISERROR(HLOOKUP(MATCH($P$1,总课表!II11:JF11,0),总课表!$II$2:$JF$41,ROW(),0)),"",(HLOOKUP(MATCH($P$1,总课表!II11:JF11,0),总课表!$II$2:$JF$41,ROW(),0)))</f>
        <v>数学</v>
      </c>
      <c r="O9" s="70" t="str">
        <f>IF(ISERROR(HLOOKUP(MATCH($P$1,总课表!JG11:KD11,0),总课表!$JG$2:$KD$41,ROW(),0)),"",(HLOOKUP(MATCH($P$1,总课表!JG11:KD11,0),总课表!$JG$2:$KD$41,ROW(),0)))</f>
        <v/>
      </c>
    </row>
    <row r="10" spans="1:18" ht="24" customHeight="1" x14ac:dyDescent="0.4">
      <c r="A10" s="156"/>
      <c r="B10" s="223"/>
      <c r="C10" s="187"/>
      <c r="D10" s="72" t="str">
        <f>IF(ISERROR(HLOOKUP(MATCH($P$1,总课表!C11:Z11,0),总课表!$C$2:$Z$3,2,0)),"",(HLOOKUP(MATCH($P$1,总课表!C11:Z11,0),总课表!$C$2:$Z$3,2,0)))</f>
        <v/>
      </c>
      <c r="E10" s="73" t="str">
        <f>IF(ISERROR(HLOOKUP(MATCH($P$1,总课表!AA11:AX11,0),总课表!$AA$2:$AX$3,2,0)),"",(HLOOKUP(MATCH($P$1,总课表!AA11:AX11,0),总课表!$AA$2:$AX$3,2,0)))</f>
        <v/>
      </c>
      <c r="F10" s="73" t="str">
        <f>IF(ISERROR(HLOOKUP(MATCH($P$1,总课表!AY11:BV11,0),总课表!$AY$2:$BV$3,2,0)),"",(HLOOKUP(MATCH($P$1,总课表!AY11:BV11,0),总课表!$AY$2:$BV$3,2,0)))</f>
        <v/>
      </c>
      <c r="G10" s="73">
        <f>IF(ISERROR(HLOOKUP(MATCH($P$1,总课表!BW11:CV11,0),总课表!$BW$2:$CV$3,2,0)),"",(HLOOKUP(MATCH($P$1,总课表!BW11:CV11,0),总课表!$BW$2:$CV$3,2,0)))</f>
        <v>202</v>
      </c>
      <c r="H10" s="74" t="str">
        <f>IF(ISERROR(HLOOKUP(MATCH($P$1,总课表!CU11:DR11,0),总课表!$CU$2:$DR$3,2,0)),"",(HLOOKUP(MATCH($P$1,总课表!CU11:DR11,0),总课表!$CU$2:$DR$3,2,0)))</f>
        <v/>
      </c>
      <c r="I10" s="73" t="str">
        <f>IF(ISERROR(HLOOKUP(MATCH($P$1,总课表!DS11:EP11,0),总课表!$DS$2:$EP$3,2,0)),"",(HLOOKUP(MATCH($P$1,总课表!DS11:EP11,0),总课表!$DS$2:$EP$3,2,0)))</f>
        <v/>
      </c>
      <c r="J10" s="74" t="str">
        <f>IF(ISERROR(HLOOKUP(MATCH($P$1,总课表!EQ11:FN11,0),总课表!$EQ$2:$FN$3,2,0)),"",(HLOOKUP(MATCH($P$1,总课表!EQ11:FN11,0),总课表!$EQ$2:$FN$3,2,0)))</f>
        <v/>
      </c>
      <c r="K10" s="75" t="str">
        <f>IF(ISERROR(HLOOKUP(MATCH($P$1,总课表!FO11:GL11,0),总课表!$FO$2:$GL$3,2,0)),"",(HLOOKUP(MATCH($P$1,总课表!FO11:GL11,0),总课表!$FO$2:$GL$3,2,0)))</f>
        <v/>
      </c>
      <c r="L10" s="73" t="str">
        <f>IF(ISERROR(HLOOKUP(MATCH($P$1,总课表!GM11:HJ11,0),总课表!$GM$2:$HJ$3,2,0)),"",(HLOOKUP(MATCH($P$1,总课表!GM11:HJ11,0),总课表!$GM$2:$HJ$3,2,0)))</f>
        <v/>
      </c>
      <c r="M10" s="73" t="str">
        <f>IF(ISERROR(HLOOKUP(MATCH($P$1,总课表!HK11:IH11,0),总课表!$HK$2:$IH$3,2,0)),"",(HLOOKUP(MATCH($P$1,总课表!HK11:IH11,0),总课表!$HK$2:$IH$3,2,0)))</f>
        <v/>
      </c>
      <c r="N10" s="73">
        <f>IF(ISERROR(HLOOKUP(MATCH($P$1,总课表!II11:JF11,0),总课表!$II$2:$JF$3,2,0)),"",(HLOOKUP(MATCH($P$1,总课表!II11:JF11,0),总课表!$II$2:$JF$3,2,0)))</f>
        <v>202</v>
      </c>
      <c r="O10" s="74" t="str">
        <f>IF(ISERROR(HLOOKUP(MATCH($P$1,总课表!JG11:KD11,0),总课表!$JG$2:$KD$3,2,0)),"",(HLOOKUP(MATCH($P$1,总课表!JG11:KD11,0),总课表!$JG$2:$KD$3,2,0)))</f>
        <v/>
      </c>
    </row>
    <row r="11" spans="1:18" ht="24" customHeight="1" x14ac:dyDescent="0.4">
      <c r="A11" s="156"/>
      <c r="B11" s="224" t="s">
        <v>161</v>
      </c>
      <c r="C11" s="241" t="s">
        <v>184</v>
      </c>
      <c r="D11" s="244" t="s">
        <v>185</v>
      </c>
      <c r="E11" s="245"/>
      <c r="F11" s="245"/>
      <c r="G11" s="245"/>
      <c r="H11" s="246"/>
      <c r="I11" s="247"/>
      <c r="J11" s="248"/>
      <c r="K11" s="244"/>
      <c r="L11" s="245"/>
      <c r="M11" s="245"/>
      <c r="N11" s="245"/>
      <c r="O11" s="246"/>
    </row>
    <row r="12" spans="1:18" ht="24" customHeight="1" x14ac:dyDescent="0.4">
      <c r="A12" s="156"/>
      <c r="B12" s="225"/>
      <c r="C12" s="242"/>
      <c r="D12" s="244"/>
      <c r="E12" s="245"/>
      <c r="F12" s="245"/>
      <c r="G12" s="245"/>
      <c r="H12" s="246"/>
      <c r="I12" s="244"/>
      <c r="J12" s="249"/>
      <c r="K12" s="244"/>
      <c r="L12" s="245"/>
      <c r="M12" s="245"/>
      <c r="N12" s="245"/>
      <c r="O12" s="246"/>
      <c r="P12" s="36"/>
    </row>
    <row r="13" spans="1:18" ht="24" customHeight="1" x14ac:dyDescent="0.4">
      <c r="A13" s="156"/>
      <c r="B13" s="177">
        <v>3</v>
      </c>
      <c r="C13" s="193" t="s">
        <v>186</v>
      </c>
      <c r="D13" s="66" t="str">
        <f>IF(ISERROR(HLOOKUP(MATCH($P$1,总课表!C15:Z15,0),总课表!$C$2:$Z$41,ROW(),0)),"",(HLOOKUP(MATCH($P$1,总课表!C15:Z15,0),总课表!$C$2:$Z$41,ROW(),0)))</f>
        <v>数学</v>
      </c>
      <c r="E13" s="67" t="str">
        <f>IF(ISERROR(HLOOKUP(MATCH($P$1,总课表!AA15:AX15,0),总课表!$AA$2:$AX$41,ROW(),0)),"",(HLOOKUP(MATCH($P$1,总课表!AA15:AX15,0),总课表!$AA$2:$AX$41,ROW(),0)))</f>
        <v/>
      </c>
      <c r="F13" s="68" t="str">
        <f>IF(ISERROR(HLOOKUP(MATCH($P$1,总课表!AY15:BV15,0),总课表!$AY$2:$BV$41,ROW(),0)),"",(HLOOKUP(MATCH($P$1,总课表!AY15:BV15,0),总课表!$AY$2:$BV$41,ROW(),0)))</f>
        <v>数学</v>
      </c>
      <c r="G13" s="69" t="str">
        <f>IF(ISERROR(HLOOKUP(MATCH($P$1,总课表!BW15:CV15,0),总课表!$BW$2:$CV$41,ROW(),0)),"",(HLOOKUP(MATCH($P$1,总课表!BW15:CV15,0),总课表!$BW$2:$CV$41,ROW(),0)))</f>
        <v>数学</v>
      </c>
      <c r="H13" s="70" t="str">
        <f>IF(ISERROR(HLOOKUP(MATCH($P$1,总课表!CU15:DR15,0),总课表!$CU$2:$DR$41,ROW(),0)),"",(HLOOKUP(MATCH($P$1,总课表!CU15:DR15,0),总课表!$CU$2:$DR$41,ROW(),0)))</f>
        <v>数学</v>
      </c>
      <c r="I13" s="69" t="str">
        <f>IF(ISERROR(HLOOKUP(MATCH($P$1,总课表!DS15:EP15,0),总课表!$DS$2:$EP$41,ROW(),0)),"",(HLOOKUP(MATCH($P$1,总课表!DS15:EP15,0),总课表!$DS$2:$EP$41,ROW(),0)))</f>
        <v>数学</v>
      </c>
      <c r="J13" s="70" t="str">
        <f>IF(ISERROR(HLOOKUP(MATCH($P$1,总课表!EQ15:FN15,0),总课表!$EQ$2:$FN$41,ROW(),0)),"",(HLOOKUP(MATCH($P$1,总课表!EQ15:FN15,0),总课表!$EQ$2:$FN$41,ROW(),0)))</f>
        <v/>
      </c>
      <c r="K13" s="71" t="str">
        <f>IF(ISERROR(HLOOKUP(MATCH($P$1,总课表!FO15:GL15,0),总课表!$B$2:$GL$41,ROW(),0)),"",(HLOOKUP(MATCH($P$1,总课表!FO15:GL15,0),总课表!$FO$2:$GL$41,ROW(),0)))</f>
        <v>数学</v>
      </c>
      <c r="L13" s="67" t="str">
        <f>IF(ISERROR(HLOOKUP(MATCH($P$1,总课表!GM15:HJ15,0),总课表!$GM$2:$HJ$41,ROW(),0)),"",(HLOOKUP(MATCH($P$1,总课表!GM15:HJ15,0),总课表!$GM$2:$HJ$41,ROW(),0)))</f>
        <v/>
      </c>
      <c r="M13" s="68" t="str">
        <f>IF(ISERROR(HLOOKUP(MATCH($P$1,总课表!HK15:IH15,0),总课表!$HK$2:$IH$41,ROW(),0)),"",(HLOOKUP(MATCH($P$1,总课表!HK15:IH15,0),总课表!$HK$2:$IH$41,ROW(),0)))</f>
        <v>数学</v>
      </c>
      <c r="N13" s="69" t="str">
        <f>IF(ISERROR(HLOOKUP(MATCH($P$1,总课表!II15:JF15,0),总课表!$II$2:$JF$41,ROW(),0)),"",(HLOOKUP(MATCH($P$1,总课表!II15:JF15,0),总课表!$II$2:$JF$41,ROW(),0)))</f>
        <v>数学</v>
      </c>
      <c r="O13" s="70" t="str">
        <f>IF(ISERROR(HLOOKUP(MATCH($P$1,总课表!JG15:KD15,0),总课表!$JG$2:$KD$41,ROW(),0)),"",(HLOOKUP(MATCH($P$1,总课表!JG15:KD15,0),总课表!$JG$2:$KD$41,ROW(),0)))</f>
        <v>数学</v>
      </c>
      <c r="Q13" s="86"/>
    </row>
    <row r="14" spans="1:18" ht="24" customHeight="1" x14ac:dyDescent="0.4">
      <c r="A14" s="156"/>
      <c r="B14" s="177"/>
      <c r="C14" s="194"/>
      <c r="D14" s="72">
        <f>IF(ISERROR(HLOOKUP(MATCH($P$1,总课表!C15:Z15,0),总课表!$C$2:$Z$3,2,0)),"",(HLOOKUP(MATCH($P$1,总课表!C15:Z15,0),总课表!$C$2:$Z$3,2,0)))</f>
        <v>210</v>
      </c>
      <c r="E14" s="73" t="str">
        <f>IF(ISERROR(HLOOKUP(MATCH($P$1,总课表!AA15:AX15,0),总课表!$AA$2:$AX$3,2,0)),"",(HLOOKUP(MATCH($P$1,总课表!AA15:AX15,0),总课表!$AA$2:$AX$3,2,0)))</f>
        <v/>
      </c>
      <c r="F14" s="73">
        <f>IF(ISERROR(HLOOKUP(MATCH($P$1,总课表!AY15:BV15,0),总课表!$AY$2:$BV$3,2,0)),"",(HLOOKUP(MATCH($P$1,总课表!AY15:BV15,0),总课表!$AY$2:$BV$3,2,0)))</f>
        <v>210</v>
      </c>
      <c r="G14" s="73">
        <f>IF(ISERROR(HLOOKUP(MATCH($P$1,总课表!BW15:CV15,0),总课表!$BW$2:$CV$3,2,0)),"",(HLOOKUP(MATCH($P$1,总课表!BW15:CV15,0),总课表!$BW$2:$CV$3,2,0)))</f>
        <v>210</v>
      </c>
      <c r="H14" s="74">
        <f>IF(ISERROR(HLOOKUP(MATCH($P$1,总课表!CU15:DR15,0),总课表!$CU$2:$DR$3,2,0)),"",(HLOOKUP(MATCH($P$1,总课表!CU15:DR15,0),总课表!$CU$2:$DR$3,2,0)))</f>
        <v>210</v>
      </c>
      <c r="I14" s="73">
        <f>IF(ISERROR(HLOOKUP(MATCH($P$1,总课表!DS15:EP15,0),总课表!$DS$2:$EP$3,2,0)),"",(HLOOKUP(MATCH($P$1,总课表!DS15:EP15,0),总课表!$DS$2:$EP$3,2,0)))</f>
        <v>210</v>
      </c>
      <c r="J14" s="74" t="str">
        <f>IF(ISERROR(HLOOKUP(MATCH($P$1,总课表!EQ15:FN15,0),总课表!$EQ$2:$FN$3,2,0)),"",(HLOOKUP(MATCH($P$1,总课表!EQ15:FN15,0),总课表!$EQ$2:$FN$3,2,0)))</f>
        <v/>
      </c>
      <c r="K14" s="75">
        <f>IF(ISERROR(HLOOKUP(MATCH($P$1,总课表!FO15:GL15,0),总课表!$FO$2:$GL$3,2,0)),"",(HLOOKUP(MATCH($P$1,总课表!FO15:GL15,0),总课表!$FO$2:$GL$3,2,0)))</f>
        <v>210</v>
      </c>
      <c r="L14" s="73" t="str">
        <f>IF(ISERROR(HLOOKUP(MATCH($P$1,总课表!GM15:HJ15,0),总课表!$GM$2:$HJ$3,2,0)),"",(HLOOKUP(MATCH($P$1,总课表!GM15:HJ15,0),总课表!$GM$2:$HJ$3,2,0)))</f>
        <v/>
      </c>
      <c r="M14" s="73">
        <f>IF(ISERROR(HLOOKUP(MATCH($P$1,总课表!HK15:IH15,0),总课表!$HK$2:$IH$3,2,0)),"",(HLOOKUP(MATCH($P$1,总课表!HK15:IH15,0),总课表!$HK$2:$IH$3,2,0)))</f>
        <v>210</v>
      </c>
      <c r="N14" s="73">
        <f>IF(ISERROR(HLOOKUP(MATCH($P$1,总课表!II15:JF15,0),总课表!$II$2:$JF$3,2,0)),"",(HLOOKUP(MATCH($P$1,总课表!II15:JF15,0),总课表!$II$2:$JF$3,2,0)))</f>
        <v>210</v>
      </c>
      <c r="O14" s="74">
        <f>IF(ISERROR(HLOOKUP(MATCH($P$1,总课表!JG15:KD15,0),总课表!$JG$2:$KD$3,2,0)),"",(HLOOKUP(MATCH($P$1,总课表!JG15:KD15,0),总课表!$JG$2:$KD$3,2,0)))</f>
        <v>210</v>
      </c>
    </row>
    <row r="15" spans="1:18" ht="24" customHeight="1" x14ac:dyDescent="0.4">
      <c r="A15" s="156"/>
      <c r="B15" s="226">
        <v>4</v>
      </c>
      <c r="C15" s="195" t="s">
        <v>187</v>
      </c>
      <c r="D15" s="66" t="str">
        <f>IF(ISERROR(HLOOKUP(MATCH($P$1,总课表!C17:Z17,0),总课表!$C$2:$Z$41,ROW(),0)),"",(HLOOKUP(MATCH($P$1,总课表!C17:Z17,0),总课表!$C$2:$Z$41,ROW(),0)))</f>
        <v>数学</v>
      </c>
      <c r="E15" s="67" t="str">
        <f>IF(ISERROR(HLOOKUP(MATCH($P$1,总课表!AA17:AX17,0),总课表!$AA$2:$AX$41,ROW(),0)),"",(HLOOKUP(MATCH($P$1,总课表!AA17:AX17,0),总课表!$AA$2:$AX$41,ROW(),0)))</f>
        <v>数学</v>
      </c>
      <c r="F15" s="68" t="str">
        <f>IF(ISERROR(HLOOKUP(MATCH($P$1,总课表!AY17:BV17,0),总课表!$AY$2:$BV$41,ROW(),0)),"",(HLOOKUP(MATCH($P$1,总课表!AY17:BV17,0),总课表!$AY$2:$BV$41,ROW(),0)))</f>
        <v>数学</v>
      </c>
      <c r="G15" s="69" t="str">
        <f>IF(ISERROR(HLOOKUP(MATCH($P$1,总课表!BW17:CV17,0),总课表!$BW$2:$CV$41,ROW(),0)),"",(HLOOKUP(MATCH($P$1,总课表!BW17:CV17,0),总课表!$BW$2:$CV$41,ROW(),0)))</f>
        <v/>
      </c>
      <c r="H15" s="70" t="str">
        <f>IF(ISERROR(HLOOKUP(MATCH($P$1,总课表!CU17:DR17,0),总课表!$CU$2:$DR$41,ROW(),0)),"",(HLOOKUP(MATCH($P$1,总课表!CU17:DR17,0),总课表!$CU$2:$DR$41,ROW(),0)))</f>
        <v>数学</v>
      </c>
      <c r="I15" s="69" t="str">
        <f>IF(ISERROR(HLOOKUP(MATCH($P$1,总课表!DS17:EP17,0),总课表!$DS$2:$EP$41,ROW(),0)),"",(HLOOKUP(MATCH($P$1,总课表!DS17:EP17,0),总课表!$DS$2:$EP$41,ROW(),0)))</f>
        <v>数学</v>
      </c>
      <c r="J15" s="70" t="str">
        <f>IF(ISERROR(HLOOKUP(MATCH($P$1,总课表!EQ17:FN17,0),总课表!$EQ$2:$FN$41,ROW(),0)),"",(HLOOKUP(MATCH($P$1,总课表!EQ17:FN17,0),总课表!$EQ$2:$FN$41,ROW(),0)))</f>
        <v/>
      </c>
      <c r="K15" s="71" t="str">
        <f>IF(ISERROR(HLOOKUP(MATCH($P$1,总课表!FO17:GL17,0),总课表!$B$2:$GL$41,ROW(),0)),"",(HLOOKUP(MATCH($P$1,总课表!FO17:GL17,0),总课表!$FO$2:$GL$41,ROW(),0)))</f>
        <v>数学</v>
      </c>
      <c r="L15" s="67" t="str">
        <f>IF(ISERROR(HLOOKUP(MATCH($P$1,总课表!GM17:HJ17,0),总课表!$GM$2:$HJ$41,ROW(),0)),"",(HLOOKUP(MATCH($P$1,总课表!GM17:HJ17,0),总课表!$GM$2:$HJ$41,ROW(),0)))</f>
        <v>数学</v>
      </c>
      <c r="M15" s="68" t="str">
        <f>IF(ISERROR(HLOOKUP(MATCH($P$1,总课表!HK17:IH17,0),总课表!$HK$2:$IH$41,ROW(),0)),"",(HLOOKUP(MATCH($P$1,总课表!HK17:IH17,0),总课表!$HK$2:$IH$41,ROW(),0)))</f>
        <v>数学</v>
      </c>
      <c r="N15" s="69" t="str">
        <f>IF(ISERROR(HLOOKUP(MATCH($P$1,总课表!II17:JF17,0),总课表!$II$2:$JF$41,ROW(),0)),"",(HLOOKUP(MATCH($P$1,总课表!II17:JF17,0),总课表!$II$2:$JF$41,ROW(),0)))</f>
        <v/>
      </c>
      <c r="O15" s="70" t="str">
        <f>IF(ISERROR(HLOOKUP(MATCH($P$1,总课表!JG17:KD17,0),总课表!$JG$2:$KD$41,ROW(),0)),"",(HLOOKUP(MATCH($P$1,总课表!JG17:KD17,0),总课表!$JG$2:$KD$41,ROW(),0)))</f>
        <v>数学</v>
      </c>
    </row>
    <row r="16" spans="1:18" ht="24" customHeight="1" x14ac:dyDescent="0.4">
      <c r="A16" s="156"/>
      <c r="B16" s="227"/>
      <c r="C16" s="188"/>
      <c r="D16" s="72">
        <f>IF(ISERROR(HLOOKUP(MATCH($P$1,总课表!C17:Z17,0),总课表!$C$2:$Z$3,2,0)),"",(HLOOKUP(MATCH($P$1,总课表!C17:Z17,0),总课表!$C$2:$Z$3,2,0)))</f>
        <v>202</v>
      </c>
      <c r="E16" s="73">
        <f>IF(ISERROR(HLOOKUP(MATCH($P$1,总课表!AA17:AX17,0),总课表!$AA$2:$AX$3,2,0)),"",(HLOOKUP(MATCH($P$1,总课表!AA17:AX17,0),总课表!$AA$2:$AX$3,2,0)))</f>
        <v>202</v>
      </c>
      <c r="F16" s="73">
        <f>IF(ISERROR(HLOOKUP(MATCH($P$1,总课表!AY17:BV17,0),总课表!$AY$2:$BV$3,2,0)),"",(HLOOKUP(MATCH($P$1,总课表!AY17:BV17,0),总课表!$AY$2:$BV$3,2,0)))</f>
        <v>210</v>
      </c>
      <c r="G16" s="73" t="str">
        <f>IF(ISERROR(HLOOKUP(MATCH($P$1,总课表!BW17:CV17,0),总课表!$BW$2:$CV$3,2,0)),"",(HLOOKUP(MATCH($P$1,总课表!BW17:CV17,0),总课表!$BW$2:$CV$3,2,0)))</f>
        <v/>
      </c>
      <c r="H16" s="74">
        <f>IF(ISERROR(HLOOKUP(MATCH($P$1,总课表!CU17:DR17,0),总课表!$CU$2:$DR$3,2,0)),"",(HLOOKUP(MATCH($P$1,总课表!CU17:DR17,0),总课表!$CU$2:$DR$3,2,0)))</f>
        <v>202</v>
      </c>
      <c r="I16" s="73">
        <f>IF(ISERROR(HLOOKUP(MATCH($P$1,总课表!DS17:EP17,0),总课表!$DS$2:$EP$3,2,0)),"",(HLOOKUP(MATCH($P$1,总课表!DS17:EP17,0),总课表!$DS$2:$EP$3,2,0)))</f>
        <v>210</v>
      </c>
      <c r="J16" s="74" t="str">
        <f>IF(ISERROR(HLOOKUP(MATCH($P$1,总课表!EQ17:FN17,0),总课表!$EQ$2:$FN$3,2,0)),"",(HLOOKUP(MATCH($P$1,总课表!EQ17:FN17,0),总课表!$EQ$2:$FN$3,2,0)))</f>
        <v/>
      </c>
      <c r="K16" s="75">
        <f>IF(ISERROR(HLOOKUP(MATCH($P$1,总课表!FO17:GL17,0),总课表!$FO$2:$GL$3,2,0)),"",(HLOOKUP(MATCH($P$1,总课表!FO17:GL17,0),总课表!$FO$2:$GL$3,2,0)))</f>
        <v>202</v>
      </c>
      <c r="L16" s="73">
        <f>IF(ISERROR(HLOOKUP(MATCH($P$1,总课表!GM17:HJ17,0),总课表!$GM$2:$HJ$3,2,0)),"",(HLOOKUP(MATCH($P$1,总课表!GM17:HJ17,0),总课表!$GM$2:$HJ$3,2,0)))</f>
        <v>202</v>
      </c>
      <c r="M16" s="73">
        <f>IF(ISERROR(HLOOKUP(MATCH($P$1,总课表!HK17:IH17,0),总课表!$HK$2:$IH$3,2,0)),"",(HLOOKUP(MATCH($P$1,总课表!HK17:IH17,0),总课表!$HK$2:$IH$3,2,0)))</f>
        <v>210</v>
      </c>
      <c r="N16" s="73" t="str">
        <f>IF(ISERROR(HLOOKUP(MATCH($P$1,总课表!II17:JF17,0),总课表!$II$2:$JF$3,2,0)),"",(HLOOKUP(MATCH($P$1,总课表!II17:JF17,0),总课表!$II$2:$JF$3,2,0)))</f>
        <v/>
      </c>
      <c r="O16" s="74">
        <f>IF(ISERROR(HLOOKUP(MATCH($P$1,总课表!JG17:KD17,0),总课表!$JG$2:$KD$3,2,0)),"",(HLOOKUP(MATCH($P$1,总课表!JG17:KD17,0),总课表!$JG$2:$KD$3,2,0)))</f>
        <v>202</v>
      </c>
    </row>
    <row r="17" spans="1:25" ht="24" customHeight="1" x14ac:dyDescent="0.4">
      <c r="A17" s="156"/>
      <c r="B17" s="226">
        <v>5</v>
      </c>
      <c r="C17" s="196" t="s">
        <v>188</v>
      </c>
      <c r="D17" s="66" t="str">
        <f>IF(ISERROR(HLOOKUP(MATCH($P$1,总课表!C19:Z19,0),总课表!$C$2:$Z$41,ROW(),0)),"",(HLOOKUP(MATCH($P$1,总课表!C19:Z19,0),总课表!$C$2:$Z$41,ROW(),0)))</f>
        <v/>
      </c>
      <c r="E17" s="67" t="str">
        <f>IF(ISERROR(HLOOKUP(MATCH($P$1,总课表!AA19:AX19,0),总课表!$AA$2:$AX$41,ROW(),0)),"",(HLOOKUP(MATCH($P$1,总课表!AA19:AX19,0),总课表!$AA$2:$AX$41,ROW(),0)))</f>
        <v/>
      </c>
      <c r="F17" s="68" t="str">
        <f>IF(ISERROR(HLOOKUP(MATCH($P$1,总课表!AY19:BV19,0),总课表!$AY$2:$BV$41,ROW(),0)),"",(HLOOKUP(MATCH($P$1,总课表!AY19:BV19,0),总课表!$AY$2:$BV$41,ROW(),0)))</f>
        <v/>
      </c>
      <c r="G17" s="69" t="str">
        <f>IF(ISERROR(HLOOKUP(MATCH($P$1,总课表!BW19:CV19,0),总课表!$BW$2:$CV$41,ROW(),0)),"",(HLOOKUP(MATCH($P$1,总课表!BW19:CV19,0),总课表!$BW$2:$CV$41,ROW(),0)))</f>
        <v/>
      </c>
      <c r="H17" s="70" t="str">
        <f>IF(ISERROR(HLOOKUP(MATCH($P$1,总课表!CU19:DR19,0),总课表!$CU$2:$DR$41,ROW(),0)),"",(HLOOKUP(MATCH($P$1,总课表!CU19:DR19,0),总课表!$CU$2:$DR$41,ROW(),0)))</f>
        <v/>
      </c>
      <c r="I17" s="69" t="str">
        <f>IF(ISERROR(HLOOKUP(MATCH($P$1,总课表!DS19:EP19,0),总课表!$DS$2:$EP$41,ROW(),0)),"",(HLOOKUP(MATCH($P$1,总课表!DS19:EP19,0),总课表!$DS$2:$EP$41,ROW(),0)))</f>
        <v/>
      </c>
      <c r="J17" s="70" t="str">
        <f>IF(ISERROR(HLOOKUP(MATCH($P$1,总课表!EQ19:FN19,0),总课表!$EQ$2:$FN$41,ROW(),0)),"",(HLOOKUP(MATCH($P$1,总课表!EQ19:FN19,0),总课表!$EQ$2:$FN$41,ROW(),0)))</f>
        <v/>
      </c>
      <c r="K17" s="71" t="str">
        <f>IF(ISERROR(HLOOKUP(MATCH($P$1,总课表!FO19:GL19,0),总课表!$B$2:$GL$41,ROW(),0)),"",(HLOOKUP(MATCH($P$1,总课表!FO19:GL19,0),总课表!$FO$2:$GL$41,ROW(),0)))</f>
        <v/>
      </c>
      <c r="L17" s="67" t="str">
        <f>IF(ISERROR(HLOOKUP(MATCH($P$1,总课表!GM19:HJ19,0),总课表!$GM$2:$HJ$41,ROW(),0)),"",(HLOOKUP(MATCH($P$1,总课表!GM19:HJ19,0),总课表!$GM$2:$HJ$41,ROW(),0)))</f>
        <v/>
      </c>
      <c r="M17" s="68" t="str">
        <f>IF(ISERROR(HLOOKUP(MATCH($P$1,总课表!HK19:IH19,0),总课表!$HK$2:$IH$41,ROW(),0)),"",(HLOOKUP(MATCH($P$1,总课表!HK19:IH19,0),总课表!$HK$2:$IH$41,ROW(),0)))</f>
        <v/>
      </c>
      <c r="N17" s="69" t="str">
        <f>IF(ISERROR(HLOOKUP(MATCH($P$1,总课表!II19:JF19,0),总课表!$II$2:$JF$41,ROW(),0)),"",(HLOOKUP(MATCH($P$1,总课表!II19:JF19,0),总课表!$II$2:$JF$41,ROW(),0)))</f>
        <v/>
      </c>
      <c r="O17" s="70" t="str">
        <f>IF(ISERROR(HLOOKUP(MATCH($P$1,总课表!JG19:KD19,0),总课表!$JG$2:$KD$41,ROW(),0)),"",(HLOOKUP(MATCH($P$1,总课表!JG19:KD19,0),总课表!$JG$2:$KD$41,ROW(),0)))</f>
        <v/>
      </c>
    </row>
    <row r="18" spans="1:25" ht="24" customHeight="1" x14ac:dyDescent="0.4">
      <c r="A18" s="210"/>
      <c r="B18" s="228"/>
      <c r="C18" s="197"/>
      <c r="D18" s="72" t="str">
        <f>IF(ISERROR(HLOOKUP(MATCH($P$1,总课表!C19:Z19,0),总课表!$C$2:$Z$3,2,0)),"",(HLOOKUP(MATCH($P$1,总课表!C19:Z19,0),总课表!$C$2:$Z$3,2,0)))</f>
        <v/>
      </c>
      <c r="E18" s="73" t="str">
        <f>IF(ISERROR(HLOOKUP(MATCH($P$1,总课表!AA19:AX19,0),总课表!$AA$2:$AX$3,2,0)),"",(HLOOKUP(MATCH($P$1,总课表!AA19:AX19,0),总课表!$AA$2:$AX$3,2,0)))</f>
        <v/>
      </c>
      <c r="F18" s="73" t="str">
        <f>IF(ISERROR(HLOOKUP(MATCH($P$1,总课表!AY19:BV19,0),总课表!$AY$2:$BV$3,2,0)),"",(HLOOKUP(MATCH($P$1,总课表!AY19:BV19,0),总课表!$AY$2:$BV$3,2,0)))</f>
        <v/>
      </c>
      <c r="G18" s="73" t="str">
        <f>IF(ISERROR(HLOOKUP(MATCH($P$1,总课表!BW19:CV19,0),总课表!$BW$2:$CV$3,2,0)),"",(HLOOKUP(MATCH($P$1,总课表!BW19:CV19,0),总课表!$BW$2:$CV$3,2,0)))</f>
        <v/>
      </c>
      <c r="H18" s="74" t="str">
        <f>IF(ISERROR(HLOOKUP(MATCH($P$1,总课表!CU19:DR19,0),总课表!$CU$2:$DR$3,2,0)),"",(HLOOKUP(MATCH($P$1,总课表!CU19:DR19,0),总课表!$CU$2:$DR$3,2,0)))</f>
        <v/>
      </c>
      <c r="I18" s="73" t="str">
        <f>IF(ISERROR(HLOOKUP(MATCH($P$1,总课表!DS19:EP19,0),总课表!$DS$2:$EP$3,2,0)),"",(HLOOKUP(MATCH($P$1,总课表!DS19:EP19,0),总课表!$DS$2:$EP$3,2,0)))</f>
        <v/>
      </c>
      <c r="J18" s="74" t="str">
        <f>IF(ISERROR(HLOOKUP(MATCH($P$1,总课表!EQ19:FN19,0),总课表!$EQ$2:$FN$3,2,0)),"",(HLOOKUP(MATCH($P$1,总课表!EQ19:FN19,0),总课表!$EQ$2:$FN$3,2,0)))</f>
        <v/>
      </c>
      <c r="K18" s="75" t="str">
        <f>IF(ISERROR(HLOOKUP(MATCH($P$1,总课表!FO19:GL19,0),总课表!$FO$2:$GL$3,2,0)),"",(HLOOKUP(MATCH($P$1,总课表!FO19:GL19,0),总课表!$FO$2:$GL$3,2,0)))</f>
        <v/>
      </c>
      <c r="L18" s="73" t="str">
        <f>IF(ISERROR(HLOOKUP(MATCH($P$1,总课表!GM19:HJ19,0),总课表!$GM$2:$HJ$3,2,0)),"",(HLOOKUP(MATCH($P$1,总课表!GM19:HJ19,0),总课表!$GM$2:$HJ$3,2,0)))</f>
        <v/>
      </c>
      <c r="M18" s="73" t="str">
        <f>IF(ISERROR(HLOOKUP(MATCH($P$1,总课表!HK19:IH19,0),总课表!$HK$2:$IH$3,2,0)),"",(HLOOKUP(MATCH($P$1,总课表!HK19:IH19,0),总课表!$HK$2:$IH$3,2,0)))</f>
        <v/>
      </c>
      <c r="N18" s="73" t="str">
        <f>IF(ISERROR(HLOOKUP(MATCH($P$1,总课表!II19:JF19,0),总课表!$II$2:$JF$3,2,0)),"",(HLOOKUP(MATCH($P$1,总课表!II19:JF19,0),总课表!$II$2:$JF$3,2,0)))</f>
        <v/>
      </c>
      <c r="O18" s="74" t="str">
        <f>IF(ISERROR(HLOOKUP(MATCH($P$1,总课表!JG19:KD19,0),总课表!$JG$2:$KD$3,2,0)),"",(HLOOKUP(MATCH($P$1,总课表!JG19:KD19,0),总课表!$JG$2:$KD$3,2,0)))</f>
        <v/>
      </c>
    </row>
    <row r="19" spans="1:25" ht="24" hidden="1" customHeight="1" x14ac:dyDescent="0.4">
      <c r="A19" s="211" t="s">
        <v>162</v>
      </c>
      <c r="B19" s="226" t="s">
        <v>163</v>
      </c>
      <c r="C19" s="195" t="s">
        <v>189</v>
      </c>
      <c r="D19" s="87" t="str">
        <f>IF(ISERROR(HLOOKUP(MATCH($P$1,总课表!C21:U21,0),总课表!$C$2:$Z$41,ROW(),0)),"",(HLOOKUP(MATCH($P$1,总课表!C21:U21,0),总课表!$C$2:$Z$41,ROW(),0)))</f>
        <v/>
      </c>
      <c r="E19" s="81" t="str">
        <f>IF(ISERROR(HLOOKUP(MATCH($P$1,总课表!AA21:AS21,0),总课表!$AA$2:$AS$41,ROW(),0)),"",(HLOOKUP(MATCH($P$1,总课表!AA21:AS21,0),总课表!$AA$2:$AS$41,ROW(),0)))</f>
        <v/>
      </c>
      <c r="F19" s="82" t="str">
        <f>IF(ISERROR(HLOOKUP(MATCH($P$1,总课表!AY21:BQ21,0),总课表!$AY$2:$BQ$41,ROW(),0)),"",(HLOOKUP(MATCH($P$1,总课表!AY21:BQ21,0),总课表!$AY$2:$BQ$41,ROW(),0)))</f>
        <v/>
      </c>
      <c r="G19" s="83" t="str">
        <f>IF(ISERROR(HLOOKUP(MATCH($P$1,总课表!BW21:CO21,0),总课表!$BW$2:$CO$41,ROW(),0)),"",(HLOOKUP(MATCH($P$1,总课表!BW21:CO21,0),总课表!$BW$2:$CO$41,ROW(),0)))</f>
        <v/>
      </c>
      <c r="H19" s="84" t="str">
        <f>IF(ISERROR(HLOOKUP(MATCH($P$1,总课表!CU21:DM21,0),总课表!$CU$2:$DM$41,ROW(),0)),"",(HLOOKUP(MATCH($P$1,总课表!CU21:DM21,0),总课表!$CU$2:$DM$41,ROW(),0)))</f>
        <v/>
      </c>
      <c r="I19" s="83" t="str">
        <f>IF(ISERROR(HLOOKUP(MATCH($P$1,总课表!DS21:EK21,0),总课表!$DS$2:$EK$41,ROW(),0)),"",(HLOOKUP(MATCH($P$1,总课表!DS21:EK21,0),总课表!$DS$2:$EK$41,ROW(),0)))</f>
        <v/>
      </c>
      <c r="J19" s="84" t="str">
        <f>IF(ISERROR(HLOOKUP(MATCH($P$1,总课表!EQ21:FI21,0),总课表!$EQ$2:$FI$41,ROW(),0)),"",(HLOOKUP(MATCH($P$1,总课表!EQ21:FI21,0),总课表!$EQ$2:$FI$41,ROW(),0)))</f>
        <v/>
      </c>
      <c r="K19" s="85" t="str">
        <f>IF(ISERROR(HLOOKUP(MATCH($P$1,总课表!FO21:GG21,0),总课表!$B$2:$GG$41,ROW(),0)),"",(HLOOKUP(MATCH($P$1,总课表!FO21:GG21,0),总课表!$FO$2:$GG$41,ROW(),0)))</f>
        <v/>
      </c>
      <c r="L19" s="81" t="str">
        <f>IF(ISERROR(HLOOKUP(MATCH($P$1,总课表!GM21:HE21,0),总课表!$GM$2:$HE$41,ROW(),0)),"",(HLOOKUP(MATCH($P$1,总课表!GM21:HE21,0),总课表!$GM$2:$HE$41,ROW(),0)))</f>
        <v/>
      </c>
      <c r="M19" s="82" t="str">
        <f>IF(ISERROR(HLOOKUP(MATCH($P$1,总课表!HK21:IC21,0),总课表!$HK$2:$IC$41,ROW(),0)),"",(HLOOKUP(MATCH($P$1,总课表!HK21:IC21,0),总课表!$HK$2:$IC$41,ROW(),0)))</f>
        <v/>
      </c>
      <c r="N19" s="83" t="str">
        <f>IF(ISERROR(HLOOKUP(MATCH($P$1,总课表!II21:JA21,0),总课表!$II$2:$JA$41,ROW(),0)),"",(HLOOKUP(MATCH($P$1,总课表!II21:JA21,0),总课表!$II$2:$JA$41,ROW(),0)))</f>
        <v/>
      </c>
      <c r="O19" s="84" t="str">
        <f>IF(ISERROR(HLOOKUP(MATCH($P$1,总课表!JG21:JY21,0),总课表!$JG$2:$JY$41,ROW(),0)),"",(HLOOKUP(MATCH($P$1,总课表!JG21:JY21,0),总课表!$JG$2:$JY$41,ROW(),0)))</f>
        <v/>
      </c>
    </row>
    <row r="20" spans="1:25" ht="24" hidden="1" customHeight="1" x14ac:dyDescent="0.4">
      <c r="A20" s="212"/>
      <c r="B20" s="223"/>
      <c r="C20" s="187"/>
      <c r="D20" s="76" t="str">
        <f>IF(ISERROR(HLOOKUP(MATCH($P$1,总课表!C21:U21,0),总课表!$C$2:$U$3,2,0)),"",(HLOOKUP(MATCH($P$1,总课表!C21:U21,0),总课表!$C$2:$U$3,2,0)))</f>
        <v/>
      </c>
      <c r="E20" s="88" t="str">
        <f>IF(ISERROR(HLOOKUP(MATCH($P$1,总课表!AA21:AS21,0),总课表!$AA$2:$AS$3,2,0)),"",(HLOOKUP(MATCH($P$1,总课表!AA21:AS21,0),总课表!$AA$2:$AS$3,2,0)))</f>
        <v/>
      </c>
      <c r="F20" s="88" t="str">
        <f>IF(ISERROR(HLOOKUP(MATCH($P$1,总课表!AY21:BQ21,0),总课表!$AY$2:$BQ$3,2,0)),"",(HLOOKUP(MATCH($P$1,总课表!AY21:BQ21,0),总课表!$AY$2:$BQ$3,2,0)))</f>
        <v/>
      </c>
      <c r="G20" s="88" t="str">
        <f>IF(ISERROR(HLOOKUP(MATCH($P$1,总课表!BW21:CO21,0),总课表!$BW$2:$CO$3,2,0)),"",(HLOOKUP(MATCH($P$1,总课表!BW21:CO21,0),总课表!$BW$2:$CO$3,2,0)))</f>
        <v/>
      </c>
      <c r="H20" s="89" t="str">
        <f>IF(ISERROR(HLOOKUP(MATCH($P$1,总课表!CU21:DM21,0),总课表!$CU$2:$DM$3,2,0)),"",(HLOOKUP(MATCH($P$1,总课表!CU21:DM21,0),总课表!$CU$2:$DM$3,2,0)))</f>
        <v/>
      </c>
      <c r="I20" s="88" t="str">
        <f>IF(ISERROR(HLOOKUP(MATCH($P$1,总课表!DS21:EK21,0),总课表!$DS$2:$EK$3,2,0)),"",(HLOOKUP(MATCH($P$1,总课表!DS21:EK21,0),总课表!$DS$2:$EK$3,2,0)))</f>
        <v/>
      </c>
      <c r="J20" s="89" t="str">
        <f>IF(ISERROR(HLOOKUP(MATCH($P$1,总课表!EQ21:FI21,0),总课表!$EQ$2:$FI$3,2,0)),"",(HLOOKUP(MATCH($P$1,总课表!EQ21:FI21,0),总课表!$EQ$2:$FI$3,2,0)))</f>
        <v/>
      </c>
      <c r="K20" s="90" t="str">
        <f>IF(ISERROR(HLOOKUP(MATCH($P$1,总课表!FO21:GG21,0),总课表!$FO$2:$GG$3,2,0)),"",(HLOOKUP(MATCH($P$1,总课表!FO21:GG21,0),总课表!$FO$2:$GG$3,2,0)))</f>
        <v/>
      </c>
      <c r="L20" s="88" t="str">
        <f>IF(ISERROR(HLOOKUP(MATCH($P$1,总课表!GM21:HE21,0),总课表!$GM$2:$HE$3,2,0)),"",(HLOOKUP(MATCH($P$1,总课表!GM21:HE21,0),总课表!$GM$2:$HE$3,2,0)))</f>
        <v/>
      </c>
      <c r="M20" s="88" t="str">
        <f>IF(ISERROR(HLOOKUP(MATCH($P$1,总课表!HK21:IC21,0),总课表!$HK$2:$IC$3,2,0)),"",(HLOOKUP(MATCH($P$1,总课表!HK21:IC21,0),总课表!$HK$2:$IC$3,2,0)))</f>
        <v/>
      </c>
      <c r="N20" s="88" t="str">
        <f>IF(ISERROR(HLOOKUP(MATCH($P$1,总课表!II21:JA21,0),总课表!$II$2:$JA$3,2,0)),"",(HLOOKUP(MATCH($P$1,总课表!II21:JA21,0),总课表!$II$2:$JA$3,2,0)))</f>
        <v/>
      </c>
      <c r="O20" s="89" t="str">
        <f>IF(ISERROR(HLOOKUP(MATCH($P$1,总课表!JG21:JY21,0),总课表!$JG$2:$JY$3,2,0)),"",(HLOOKUP(MATCH($P$1,总课表!JG21:JY21,0),总课表!$JG$2:$JY$3,2,0)))</f>
        <v/>
      </c>
    </row>
    <row r="21" spans="1:25" ht="24" customHeight="1" x14ac:dyDescent="0.4">
      <c r="A21" s="212"/>
      <c r="B21" s="222">
        <v>1</v>
      </c>
      <c r="C21" s="186" t="s">
        <v>190</v>
      </c>
      <c r="D21" s="80" t="str">
        <f>IF(ISERROR(HLOOKUP(MATCH($P$1,总课表!C23:Z23,0),总课表!$C$2:$Z$41,ROW(),0)),"",(HLOOKUP(MATCH($P$1,总课表!C23:Z23,0),总课表!$C$2:$Z$41,ROW(),0)))</f>
        <v/>
      </c>
      <c r="E21" s="91" t="str">
        <f>IF(ISERROR(HLOOKUP(MATCH($P$1,总课表!AA23:AX23,0),总课表!$AA$2:$AX$41,ROW(),0)),"",(HLOOKUP(MATCH($P$1,总课表!AA23:AX23,0),总课表!$AA$2:$AX$41,ROW(),0)))</f>
        <v/>
      </c>
      <c r="F21" s="92" t="str">
        <f>IF(ISERROR(HLOOKUP(MATCH($P$1,总课表!AY23:BV23,0),总课表!$AY$2:$BV$41,ROW(),0)),"",(HLOOKUP(MATCH($P$1,总课表!AY23:BV23,0),总课表!$AY$2:$BV$41,ROW(),0)))</f>
        <v/>
      </c>
      <c r="G21" s="93" t="str">
        <f>IF(ISERROR(HLOOKUP(MATCH($P$1,总课表!BW23:CV23,0),总课表!$BW$2:$CV$41,ROW(),0)),"",(HLOOKUP(MATCH($P$1,总课表!BW23:CV23,0),总课表!$BW$2:$CV$41,ROW(),0)))</f>
        <v/>
      </c>
      <c r="H21" s="94" t="str">
        <f>IF(ISERROR(HLOOKUP(MATCH($P$1,总课表!CU23:DR23,0),总课表!$CU$2:$DR$41,ROW(),0)),"",(HLOOKUP(MATCH($P$1,总课表!CU23:DR23,0),总课表!$CU$2:$DR$41,ROW(),0)))</f>
        <v/>
      </c>
      <c r="I21" s="93" t="str">
        <f>IF(ISERROR(HLOOKUP(MATCH($P$1,总课表!DS23:EP23,0),总课表!$DS$2:$EP$41,ROW(),0)),"",(HLOOKUP(MATCH($P$1,总课表!DS23:EP23,0),总课表!$DS$2:$EP$41,ROW(),0)))</f>
        <v>数学</v>
      </c>
      <c r="J21" s="94" t="str">
        <f>IF(ISERROR(HLOOKUP(MATCH($P$1,总课表!EQ23:FN23,0),总课表!$EQ$2:$FN$41,ROW(),0)),"",(HLOOKUP(MATCH($P$1,总课表!EQ23:FN23,0),总课表!$EQ$2:$FN$41,ROW(),0)))</f>
        <v/>
      </c>
      <c r="K21" s="95" t="str">
        <f>IF(ISERROR(HLOOKUP(MATCH($P$1,总课表!FO23:GL23,0),总课表!$B$2:$GL$41,ROW(),0)),"",(HLOOKUP(MATCH($P$1,总课表!FO23:GL23,0),总课表!$FO$2:$GL$41,ROW(),0)))</f>
        <v/>
      </c>
      <c r="L21" s="91" t="str">
        <f>IF(ISERROR(HLOOKUP(MATCH($P$1,总课表!GM23:HJ23,0),总课表!$GM$2:$HJ$41,ROW(),0)),"",(HLOOKUP(MATCH($P$1,总课表!GM23:HJ23,0),总课表!$GM$2:$HJ$41,ROW(),0)))</f>
        <v/>
      </c>
      <c r="M21" s="92" t="str">
        <f>IF(ISERROR(HLOOKUP(MATCH($P$1,总课表!HK23:IH23,0),总课表!$HK$2:$IH$41,ROW(),0)),"",(HLOOKUP(MATCH($P$1,总课表!HK23:IH23,0),总课表!$HK$2:$IH$41,ROW(),0)))</f>
        <v/>
      </c>
      <c r="N21" s="93" t="str">
        <f>IF(ISERROR(HLOOKUP(MATCH($P$1,总课表!II23:JF23,0),总课表!$II$2:$JF$41,ROW(),0)),"",(HLOOKUP(MATCH($P$1,总课表!II23:JF23,0),总课表!$II$2:$JF$41,ROW(),0)))</f>
        <v/>
      </c>
      <c r="O21" s="94" t="str">
        <f>IF(ISERROR(HLOOKUP(MATCH($P$1,总课表!JG23:KD23,0),总课表!$JG$2:$KD$41,ROW(),0)),"",(HLOOKUP(MATCH($P$1,总课表!JG23:KD23,0),总课表!$JG$2:$KD$41,ROW(),0)))</f>
        <v/>
      </c>
    </row>
    <row r="22" spans="1:25" ht="24" customHeight="1" x14ac:dyDescent="0.4">
      <c r="A22" s="212"/>
      <c r="B22" s="223"/>
      <c r="C22" s="187"/>
      <c r="D22" s="72" t="str">
        <f>IF(ISERROR(HLOOKUP(MATCH($P$1,总课表!C23:Z23,0),总课表!$C$2:$Z$3,2,0)),"",(HLOOKUP(MATCH($P$1,总课表!C23:Z23,0),总课表!$C$2:$Z$3,2,0)))</f>
        <v/>
      </c>
      <c r="E22" s="73" t="str">
        <f>IF(ISERROR(HLOOKUP(MATCH($P$1,总课表!AA23:AX23,0),总课表!$AA$2:$AX$3,2,0)),"",(HLOOKUP(MATCH($P$1,总课表!AA23:AX23,0),总课表!$AA$2:$AX$3,2,0)))</f>
        <v/>
      </c>
      <c r="F22" s="73" t="str">
        <f>IF(ISERROR(HLOOKUP(MATCH($P$1,总课表!AY23:BV23,0),总课表!$AY$2:$BV$3,2,0)),"",(HLOOKUP(MATCH($P$1,总课表!AY23:BV23,0),总课表!$AY$2:$BV$3,2,0)))</f>
        <v/>
      </c>
      <c r="G22" s="73" t="str">
        <f>IF(ISERROR(HLOOKUP(MATCH($P$1,总课表!BW23:CV23,0),总课表!$BW$2:$CV$3,2,0)),"",(HLOOKUP(MATCH($P$1,总课表!BW23:CV23,0),总课表!$BW$2:$CV$3,2,0)))</f>
        <v/>
      </c>
      <c r="H22" s="74" t="str">
        <f>IF(ISERROR(HLOOKUP(MATCH($P$1,总课表!CU23:DR23,0),总课表!$CU$2:$DR$3,2,0)),"",(HLOOKUP(MATCH($P$1,总课表!CU23:DR23,0),总课表!$CU$2:$DR$3,2,0)))</f>
        <v/>
      </c>
      <c r="I22" s="73">
        <f>IF(ISERROR(HLOOKUP(MATCH($P$1,总课表!DS23:EP23,0),总课表!$DS$2:$EP$3,2,0)),"",(HLOOKUP(MATCH($P$1,总课表!DS23:EP23,0),总课表!$DS$2:$EP$3,2,0)))</f>
        <v>202</v>
      </c>
      <c r="J22" s="74" t="str">
        <f>IF(ISERROR(HLOOKUP(MATCH($P$1,总课表!EQ23:FN23,0),总课表!$EQ$2:$FN$3,2,0)),"",(HLOOKUP(MATCH($P$1,总课表!EQ23:FN23,0),总课表!$EQ$2:$FN$3,2,0)))</f>
        <v/>
      </c>
      <c r="K22" s="75" t="str">
        <f>IF(ISERROR(HLOOKUP(MATCH($P$1,总课表!FO23:GL23,0),总课表!$FO$2:$GL$3,2,0)),"",(HLOOKUP(MATCH($P$1,总课表!FO23:GL23,0),总课表!$FO$2:$GL$3,2,0)))</f>
        <v/>
      </c>
      <c r="L22" s="73" t="str">
        <f>IF(ISERROR(HLOOKUP(MATCH($P$1,总课表!GM23:HJ23,0),总课表!$GM$2:$HJ$3,2,0)),"",(HLOOKUP(MATCH($P$1,总课表!GM23:HJ23,0),总课表!$GM$2:$HJ$3,2,0)))</f>
        <v/>
      </c>
      <c r="M22" s="73" t="str">
        <f>IF(ISERROR(HLOOKUP(MATCH($P$1,总课表!HK23:IH23,0),总课表!$HK$2:$IH$3,2,0)),"",(HLOOKUP(MATCH($P$1,总课表!HK23:IH23,0),总课表!$HK$2:$IH$3,2,0)))</f>
        <v/>
      </c>
      <c r="N22" s="73" t="str">
        <f>IF(ISERROR(HLOOKUP(MATCH($P$1,总课表!II23:JF23,0),总课表!$II$2:$JF$3,2,0)),"",(HLOOKUP(MATCH($P$1,总课表!II23:JF23,0),总课表!$II$2:$JF$3,2,0)))</f>
        <v/>
      </c>
      <c r="O22" s="74" t="str">
        <f>IF(ISERROR(HLOOKUP(MATCH($P$1,总课表!JG23:KD23,0),总课表!$JG$2:$KD$3,2,0)),"",(HLOOKUP(MATCH($P$1,总课表!JG23:KD23,0),总课表!$JG$2:$KD$3,2,0)))</f>
        <v/>
      </c>
    </row>
    <row r="23" spans="1:25" ht="24" customHeight="1" x14ac:dyDescent="0.4">
      <c r="A23" s="212"/>
      <c r="B23" s="229">
        <v>2</v>
      </c>
      <c r="C23" s="186" t="s">
        <v>191</v>
      </c>
      <c r="D23" s="66" t="str">
        <f>IF(ISERROR(HLOOKUP(MATCH($P$1,总课表!C25:Z25,0),总课表!$C$2:$Z$41,ROW(),0)),"",(HLOOKUP(MATCH($P$1,总课表!C25:Z25,0),总课表!$C$2:$Z$41,ROW(),0)))</f>
        <v/>
      </c>
      <c r="E23" s="67" t="str">
        <f>IF(ISERROR(HLOOKUP(MATCH($P$1,总课表!AA25:AX25,0),总课表!$AA$2:$AX$41,ROW(),0)),"",(HLOOKUP(MATCH($P$1,总课表!AA25:AX25,0),总课表!$AA$2:$AX$41,ROW(),0)))</f>
        <v>数学</v>
      </c>
      <c r="F23" s="68" t="str">
        <f>IF(ISERROR(HLOOKUP(MATCH($P$1,总课表!AY25:BV25,0),总课表!$AY$2:$BV$41,ROW(),0)),"",(HLOOKUP(MATCH($P$1,总课表!AY25:BV25,0),总课表!$AY$2:$BV$41,ROW(),0)))</f>
        <v>数学</v>
      </c>
      <c r="G23" s="69" t="str">
        <f>IF(ISERROR(HLOOKUP(MATCH($P$1,总课表!BW25:CV25,0),总课表!$BW$2:$CV$41,ROW(),0)),"",(HLOOKUP(MATCH($P$1,总课表!BW25:CV25,0),总课表!$BW$2:$CV$41,ROW(),0)))</f>
        <v/>
      </c>
      <c r="H23" s="70" t="str">
        <f>IF(ISERROR(HLOOKUP(MATCH($P$1,总课表!CU25:DR25,0),总课表!$CU$2:$DR$41,ROW(),0)),"",(HLOOKUP(MATCH($P$1,总课表!CU25:DR25,0),总课表!$CU$2:$DR$41,ROW(),0)))</f>
        <v/>
      </c>
      <c r="I23" s="69" t="str">
        <f>IF(ISERROR(HLOOKUP(MATCH($P$1,总课表!DS25:EP25,0),总课表!$DS$2:$EP$41,ROW(),0)),"",(HLOOKUP(MATCH($P$1,总课表!DS25:EP25,0),总课表!$DS$2:$EP$41,ROW(),0)))</f>
        <v>数学</v>
      </c>
      <c r="J23" s="70" t="str">
        <f>IF(ISERROR(HLOOKUP(MATCH($P$1,总课表!EQ25:FN25,0),总课表!$EQ$2:$FN$41,ROW(),0)),"",(HLOOKUP(MATCH($P$1,总课表!EQ25:FN25,0),总课表!$EQ$2:$FN$41,ROW(),0)))</f>
        <v/>
      </c>
      <c r="K23" s="71" t="str">
        <f>IF(ISERROR(HLOOKUP(MATCH($P$1,总课表!FO25:GL25,0),总课表!$B$2:$GL$41,ROW(),0)),"",(HLOOKUP(MATCH($P$1,总课表!FO25:GL25,0),总课表!$FO$2:$GL$41,ROW(),0)))</f>
        <v/>
      </c>
      <c r="L23" s="67" t="str">
        <f>IF(ISERROR(HLOOKUP(MATCH($P$1,总课表!GM25:HJ25,0),总课表!$GM$2:$HJ$41,ROW(),0)),"",(HLOOKUP(MATCH($P$1,总课表!GM25:HJ25,0),总课表!$GM$2:$HJ$41,ROW(),0)))</f>
        <v>数学</v>
      </c>
      <c r="M23" s="68" t="str">
        <f>IF(ISERROR(HLOOKUP(MATCH($P$1,总课表!HK25:IH25,0),总课表!$HK$2:$IH$41,ROW(),0)),"",(HLOOKUP(MATCH($P$1,总课表!HK25:IH25,0),总课表!$HK$2:$IH$41,ROW(),0)))</f>
        <v>数学</v>
      </c>
      <c r="N23" s="69" t="str">
        <f>IF(ISERROR(HLOOKUP(MATCH($P$1,总课表!II25:JF25,0),总课表!$II$2:$JF$41,ROW(),0)),"",(HLOOKUP(MATCH($P$1,总课表!II25:JF25,0),总课表!$II$2:$JF$41,ROW(),0)))</f>
        <v/>
      </c>
      <c r="O23" s="70" t="str">
        <f>IF(ISERROR(HLOOKUP(MATCH($P$1,总课表!JG25:KD25,0),总课表!$JG$2:$KD$41,ROW(),0)),"",(HLOOKUP(MATCH($P$1,总课表!JG25:KD25,0),总课表!$JG$2:$KD$41,ROW(),0)))</f>
        <v/>
      </c>
    </row>
    <row r="24" spans="1:25" ht="24" customHeight="1" x14ac:dyDescent="0.4">
      <c r="A24" s="212"/>
      <c r="B24" s="230"/>
      <c r="C24" s="187"/>
      <c r="D24" s="72" t="str">
        <f>IF(ISERROR(HLOOKUP(MATCH($P$1,总课表!C25:Z25,0),总课表!$C$2:$Z$3,2,0)),"",(HLOOKUP(MATCH($P$1,总课表!C25:Z25,0),总课表!$C$2:$Z$3,2,0)))</f>
        <v/>
      </c>
      <c r="E24" s="73">
        <f>IF(ISERROR(HLOOKUP(MATCH($P$1,总课表!AA25:AX25,0),总课表!$AA$2:$AX$3,2,0)),"",(HLOOKUP(MATCH($P$1,总课表!AA25:AX25,0),总课表!$AA$2:$AX$3,2,0)))</f>
        <v>210</v>
      </c>
      <c r="F24" s="73">
        <f>IF(ISERROR(HLOOKUP(MATCH($P$1,总课表!AY25:BV25,0),总课表!$AY$2:$BV$3,2,0)),"",(HLOOKUP(MATCH($P$1,总课表!AY25:BV25,0),总课表!$AY$2:$BV$3,2,0)))</f>
        <v>202</v>
      </c>
      <c r="G24" s="73" t="str">
        <f>IF(ISERROR(HLOOKUP(MATCH($P$1,总课表!BW25:CV25,0),总课表!$BW$2:$CV$3,2,0)),"",(HLOOKUP(MATCH($P$1,总课表!BW25:CV25,0),总课表!$BW$2:$CV$3,2,0)))</f>
        <v/>
      </c>
      <c r="H24" s="74" t="str">
        <f>IF(ISERROR(HLOOKUP(MATCH($P$1,总课表!CU25:DR25,0),总课表!$CU$2:$DR$3,2,0)),"",(HLOOKUP(MATCH($P$1,总课表!CU25:DR25,0),总课表!$CU$2:$DR$3,2,0)))</f>
        <v/>
      </c>
      <c r="I24" s="73">
        <f>IF(ISERROR(HLOOKUP(MATCH($P$1,总课表!DS25:EP25,0),总课表!$DS$2:$EP$3,2,0)),"",(HLOOKUP(MATCH($P$1,总课表!DS25:EP25,0),总课表!$DS$2:$EP$3,2,0)))</f>
        <v>202</v>
      </c>
      <c r="J24" s="74" t="str">
        <f>IF(ISERROR(HLOOKUP(MATCH($P$1,总课表!EQ25:FN25,0),总课表!$EQ$2:$FN$3,2,0)),"",(HLOOKUP(MATCH($P$1,总课表!EQ25:FN25,0),总课表!$EQ$2:$FN$3,2,0)))</f>
        <v/>
      </c>
      <c r="K24" s="75" t="str">
        <f>IF(ISERROR(HLOOKUP(MATCH($P$1,总课表!FO25:GL25,0),总课表!$FO$2:$GL$3,2,0)),"",(HLOOKUP(MATCH($P$1,总课表!FO25:GL25,0),总课表!$FO$2:$GL$3,2,0)))</f>
        <v/>
      </c>
      <c r="L24" s="73">
        <f>IF(ISERROR(HLOOKUP(MATCH($P$1,总课表!GM25:HJ25,0),总课表!$GM$2:$HJ$3,2,0)),"",(HLOOKUP(MATCH($P$1,总课表!GM25:HJ25,0),总课表!$GM$2:$HJ$3,2,0)))</f>
        <v>210</v>
      </c>
      <c r="M24" s="73">
        <f>IF(ISERROR(HLOOKUP(MATCH($P$1,总课表!HK25:IH25,0),总课表!$HK$2:$IH$3,2,0)),"",(HLOOKUP(MATCH($P$1,总课表!HK25:IH25,0),总课表!$HK$2:$IH$3,2,0)))</f>
        <v>202</v>
      </c>
      <c r="N24" s="73" t="str">
        <f>IF(ISERROR(HLOOKUP(MATCH($P$1,总课表!II25:JF25,0),总课表!$II$2:$JF$3,2,0)),"",(HLOOKUP(MATCH($P$1,总课表!II25:JF25,0),总课表!$II$2:$JF$3,2,0)))</f>
        <v/>
      </c>
      <c r="O24" s="74" t="str">
        <f>IF(ISERROR(HLOOKUP(MATCH($P$1,总课表!JG25:KD25,0),总课表!$JG$2:$KD$3,2,0)),"",(HLOOKUP(MATCH($P$1,总课表!JG25:KD25,0),总课表!$JG$2:$KD$3,2,0)))</f>
        <v/>
      </c>
    </row>
    <row r="25" spans="1:25" ht="24" customHeight="1" x14ac:dyDescent="0.4">
      <c r="A25" s="212"/>
      <c r="B25" s="231" t="s">
        <v>161</v>
      </c>
      <c r="C25" s="195" t="s">
        <v>192</v>
      </c>
      <c r="D25" s="66" t="str">
        <f>IF(ISERROR(HLOOKUP(MATCH($P$1,总课表!C27:Z27,0),总课表!$C$2:$Z$41,ROW(),0)),"",(HLOOKUP(MATCH($P$1,总课表!C27:Z27,0),总课表!$C$2:$Z$41,ROW(),0)))</f>
        <v/>
      </c>
      <c r="E25" s="67" t="str">
        <f>IF(ISERROR(HLOOKUP(MATCH($P$1,总课表!AA27:AX27,0),总课表!$AA$2:$AX$41,ROW(),0)),"",(HLOOKUP(MATCH($P$1,总课表!AA27:AX27,0),总课表!$AA$2:$AX$41,ROW(),0)))</f>
        <v>数学</v>
      </c>
      <c r="F25" s="68" t="str">
        <f>IF(ISERROR(HLOOKUP(MATCH($P$1,总课表!AY27:BV27,0),总课表!$AY$2:$BV$41,ROW(),0)),"",(HLOOKUP(MATCH($P$1,总课表!AY27:BV27,0),总课表!$AY$2:$BV$41,ROW(),0)))</f>
        <v>数学</v>
      </c>
      <c r="G25" s="69" t="str">
        <f>IF(ISERROR(HLOOKUP(MATCH($P$1,总课表!BW27:CV27,0),总课表!$BW$2:$CV$41,ROW(),0)),"",(HLOOKUP(MATCH($P$1,总课表!BW27:CV27,0),总课表!$BW$2:$CV$41,ROW(),0)))</f>
        <v/>
      </c>
      <c r="H25" s="70" t="str">
        <f>IF(ISERROR(HLOOKUP(MATCH($P$1,总课表!CU27:DR27,0),总课表!$CU$2:$DR$41,ROW(),0)),"",(HLOOKUP(MATCH($P$1,总课表!CU27:DR27,0),总课表!$CU$2:$DR$41,ROW(),0)))</f>
        <v/>
      </c>
      <c r="I25" s="69" t="str">
        <f>IF(ISERROR(HLOOKUP(MATCH($P$1,总课表!DS27:EP27,0),总课表!$DS$2:$EP$41,ROW(),0)),"",(HLOOKUP(MATCH($P$1,总课表!DS27:EP27,0),总课表!$DS$2:$EP$41,ROW(),0)))</f>
        <v/>
      </c>
      <c r="J25" s="70" t="str">
        <f>IF(ISERROR(HLOOKUP(MATCH($P$1,总课表!EQ27:FN27,0),总课表!$EQ$2:$FN$41,ROW(),0)),"",(HLOOKUP(MATCH($P$1,总课表!EQ27:FN27,0),总课表!$EQ$2:$FN$41,ROW(),0)))</f>
        <v/>
      </c>
      <c r="K25" s="71" t="str">
        <f>IF(ISERROR(HLOOKUP(MATCH($P$1,总课表!FO27:GL27,0),总课表!$B$2:$GL$41,ROW(),0)),"",(HLOOKUP(MATCH($P$1,总课表!FO27:GL27,0),总课表!$FO$2:$GL$41,ROW(),0)))</f>
        <v/>
      </c>
      <c r="L25" s="67" t="str">
        <f>IF(ISERROR(HLOOKUP(MATCH($P$1,总课表!GM27:HJ27,0),总课表!$GM$2:$HJ$41,ROW(),0)),"",(HLOOKUP(MATCH($P$1,总课表!GM27:HJ27,0),总课表!$GM$2:$HJ$41,ROW(),0)))</f>
        <v>数学</v>
      </c>
      <c r="M25" s="68" t="str">
        <f>IF(ISERROR(HLOOKUP(MATCH($P$1,总课表!HK27:IH27,0),总课表!$HK$2:$IH$41,ROW(),0)),"",(HLOOKUP(MATCH($P$1,总课表!HK27:IH27,0),总课表!$HK$2:$IH$41,ROW(),0)))</f>
        <v/>
      </c>
      <c r="N25" s="69" t="str">
        <f>IF(ISERROR(HLOOKUP(MATCH($P$1,总课表!II27:JF27,0),总课表!$II$2:$JF$41,ROW(),0)),"",(HLOOKUP(MATCH($P$1,总课表!II27:JF27,0),总课表!$II$2:$JF$41,ROW(),0)))</f>
        <v/>
      </c>
      <c r="O25" s="70" t="str">
        <f>IF(ISERROR(HLOOKUP(MATCH($P$1,总课表!JG27:KD27,0),总课表!$JG$2:$KD$41,ROW(),0)),"",(HLOOKUP(MATCH($P$1,总课表!JG27:KD27,0),总课表!$JG$2:$KD$41,ROW(),0)))</f>
        <v/>
      </c>
    </row>
    <row r="26" spans="1:25" ht="24" customHeight="1" x14ac:dyDescent="0.4">
      <c r="A26" s="212"/>
      <c r="B26" s="232"/>
      <c r="C26" s="188"/>
      <c r="D26" s="72" t="str">
        <f>IF(ISERROR(HLOOKUP(MATCH($P$1,总课表!C27:Z27,0),总课表!$C$2:$Z$3,2,0)),"",(HLOOKUP(MATCH($P$1,总课表!C27:Z27,0),总课表!$C$2:$Z$3,2,0)))</f>
        <v/>
      </c>
      <c r="E26" s="73">
        <f>IF(ISERROR(HLOOKUP(MATCH($P$1,总课表!AA27:AX27,0),总课表!$AA$2:$AX$3,2,0)),"",(HLOOKUP(MATCH($P$1,总课表!AA27:AX27,0),总课表!$AA$2:$AX$3,2,0)))</f>
        <v>210</v>
      </c>
      <c r="F26" s="73">
        <f>IF(ISERROR(HLOOKUP(MATCH($P$1,总课表!AY27:BV27,0),总课表!$AY$2:$BV$3,2,0)),"",(HLOOKUP(MATCH($P$1,总课表!AY27:BV27,0),总课表!$AY$2:$BV$3,2,0)))</f>
        <v>202</v>
      </c>
      <c r="G26" s="73" t="str">
        <f>IF(ISERROR(HLOOKUP(MATCH($P$1,总课表!BW27:CV27,0),总课表!$BW$2:$CV$3,2,0)),"",(HLOOKUP(MATCH($P$1,总课表!BW27:CV27,0),总课表!$BW$2:$CV$3,2,0)))</f>
        <v/>
      </c>
      <c r="H26" s="74" t="str">
        <f>IF(ISERROR(HLOOKUP(MATCH($P$1,总课表!CU27:DR27,0),总课表!$CU$2:$DR$3,2,0)),"",(HLOOKUP(MATCH($P$1,总课表!CU27:DR27,0),总课表!$CU$2:$DR$3,2,0)))</f>
        <v/>
      </c>
      <c r="I26" s="73" t="str">
        <f>IF(ISERROR(HLOOKUP(MATCH($P$1,总课表!DS27:EP27,0),总课表!$DS$2:$EP$3,2,0)),"",(HLOOKUP(MATCH($P$1,总课表!DS27:EP27,0),总课表!$DS$2:$EP$3,2,0)))</f>
        <v/>
      </c>
      <c r="J26" s="74" t="str">
        <f>IF(ISERROR(HLOOKUP(MATCH($P$1,总课表!EQ27:FN27,0),总课表!$EQ$2:$FN$3,2,0)),"",(HLOOKUP(MATCH($P$1,总课表!EQ27:FN27,0),总课表!$EQ$2:$FN$3,2,0)))</f>
        <v/>
      </c>
      <c r="K26" s="75" t="str">
        <f>IF(ISERROR(HLOOKUP(MATCH($P$1,总课表!FO27:GL27,0),总课表!$FO$2:$GL$3,2,0)),"",(HLOOKUP(MATCH($P$1,总课表!FO27:GL27,0),总课表!$FO$2:$GL$3,2,0)))</f>
        <v/>
      </c>
      <c r="L26" s="73">
        <f>IF(ISERROR(HLOOKUP(MATCH($P$1,总课表!GM27:HJ27,0),总课表!$GM$2:$HJ$3,2,0)),"",(HLOOKUP(MATCH($P$1,总课表!GM27:HJ27,0),总课表!$GM$2:$HJ$3,2,0)))</f>
        <v>210</v>
      </c>
      <c r="M26" s="73" t="str">
        <f>IF(ISERROR(HLOOKUP(MATCH($P$1,总课表!HK27:IH27,0),总课表!$HK$2:$IH$3,2,0)),"",(HLOOKUP(MATCH($P$1,总课表!HK27:IH27,0),总课表!$HK$2:$IH$3,2,0)))</f>
        <v/>
      </c>
      <c r="N26" s="73" t="str">
        <f>IF(ISERROR(HLOOKUP(MATCH($P$1,总课表!II27:JF27,0),总课表!$II$2:$JF$3,2,0)),"",(HLOOKUP(MATCH($P$1,总课表!II27:JF27,0),总课表!$II$2:$JF$3,2,0)))</f>
        <v/>
      </c>
      <c r="O26" s="74" t="str">
        <f>IF(ISERROR(HLOOKUP(MATCH($P$1,总课表!JG27:KD27,0),总课表!$JG$2:$KD$3,2,0)),"",(HLOOKUP(MATCH($P$1,总课表!JG27:KD27,0),总课表!$JG$2:$KD$3,2,0)))</f>
        <v/>
      </c>
    </row>
    <row r="27" spans="1:25" ht="24" customHeight="1" x14ac:dyDescent="0.4">
      <c r="A27" s="212"/>
      <c r="B27" s="233">
        <v>3</v>
      </c>
      <c r="C27" s="196" t="s">
        <v>193</v>
      </c>
      <c r="D27" s="66" t="str">
        <f>IF(ISERROR(HLOOKUP(MATCH($P$1,总课表!C29:Z29,0),总课表!$C$2:$Z$41,ROW(),0)),"",(HLOOKUP(MATCH($P$1,总课表!C29:Z29,0),总课表!$C$2:$Z$41,ROW(),0)))</f>
        <v/>
      </c>
      <c r="E27" s="67" t="str">
        <f>IF(ISERROR(HLOOKUP(MATCH($P$1,总课表!AA29:AX29,0),总课表!$AA$2:$AX$41,ROW(),0)),"",(HLOOKUP(MATCH($P$1,总课表!AA29:AX29,0),总课表!$AA$2:$AX$41,ROW(),0)))</f>
        <v/>
      </c>
      <c r="F27" s="68" t="str">
        <f>IF(ISERROR(HLOOKUP(MATCH($P$1,总课表!AY29:BV29,0),总课表!$AY$2:$BV$41,ROW(),0)),"",(HLOOKUP(MATCH($P$1,总课表!AY29:BV29,0),总课表!$AY$2:$BV$41,ROW(),0)))</f>
        <v>数学</v>
      </c>
      <c r="G27" s="69" t="str">
        <f>IF(ISERROR(HLOOKUP(MATCH($P$1,总课表!BW29:CV29,0),总课表!$BW$2:$CV$41,ROW(),0)),"",(HLOOKUP(MATCH($P$1,总课表!BW29:CV29,0),总课表!$BW$2:$CV$41,ROW(),0)))</f>
        <v/>
      </c>
      <c r="H27" s="70" t="str">
        <f>IF(ISERROR(HLOOKUP(MATCH($P$1,总课表!CU29:DR29,0),总课表!$CU$2:$DR$41,ROW(),0)),"",(HLOOKUP(MATCH($P$1,总课表!CU29:DR29,0),总课表!$CU$2:$DR$41,ROW(),0)))</f>
        <v/>
      </c>
      <c r="I27" s="69" t="str">
        <f>IF(ISERROR(HLOOKUP(MATCH($P$1,总课表!DS29:EP29,0),总课表!$DS$2:$EP$41,ROW(),0)),"",(HLOOKUP(MATCH($P$1,总课表!DS29:EP29,0),总课表!$DS$2:$EP$41,ROW(),0)))</f>
        <v>数学</v>
      </c>
      <c r="J27" s="70" t="str">
        <f>IF(ISERROR(HLOOKUP(MATCH($P$1,总课表!EQ29:FN29,0),总课表!$EQ$2:$FN$41,ROW(),0)),"",(HLOOKUP(MATCH($P$1,总课表!EQ29:FN29,0),总课表!$EQ$2:$FN$41,ROW(),0)))</f>
        <v/>
      </c>
      <c r="K27" s="71" t="str">
        <f>IF(ISERROR(HLOOKUP(MATCH($P$1,总课表!FO29:GL29,0),总课表!$B$2:$GL$41,ROW(),0)),"",(HLOOKUP(MATCH($P$1,总课表!FO29:GL29,0),总课表!$FO$2:$GL$41,ROW(),0)))</f>
        <v/>
      </c>
      <c r="L27" s="67" t="str">
        <f>IF(ISERROR(HLOOKUP(MATCH($P$1,总课表!GM29:HJ29,0),总课表!$GM$2:$HJ$41,ROW(),0)),"",(HLOOKUP(MATCH($P$1,总课表!GM29:HJ29,0),总课表!$GM$2:$HJ$41,ROW(),0)))</f>
        <v/>
      </c>
      <c r="M27" s="68" t="str">
        <f>IF(ISERROR(HLOOKUP(MATCH($P$1,总课表!HK29:IH29,0),总课表!$HK$2:$IH$41,ROW(),0)),"",(HLOOKUP(MATCH($P$1,总课表!HK29:IH29,0),总课表!$HK$2:$IH$41,ROW(),0)))</f>
        <v>数学</v>
      </c>
      <c r="N27" s="69" t="str">
        <f>IF(ISERROR(HLOOKUP(MATCH($P$1,总课表!II29:JF29,0),总课表!$II$2:$JF$41,ROW(),0)),"",(HLOOKUP(MATCH($P$1,总课表!II29:JF29,0),总课表!$II$2:$JF$41,ROW(),0)))</f>
        <v/>
      </c>
      <c r="O27" s="70" t="str">
        <f>IF(ISERROR(HLOOKUP(MATCH($P$1,总课表!JG29:KD29,0),总课表!$JG$2:$KD$41,ROW(),0)),"",(HLOOKUP(MATCH($P$1,总课表!JG29:KD29,0),总课表!$JG$2:$KD$41,ROW(),0)))</f>
        <v/>
      </c>
    </row>
    <row r="28" spans="1:25" ht="24" customHeight="1" x14ac:dyDescent="0.4">
      <c r="A28" s="213"/>
      <c r="B28" s="234"/>
      <c r="C28" s="196"/>
      <c r="D28" s="72" t="str">
        <f>IF(ISERROR(HLOOKUP(MATCH($P$1,总课表!C29:Z29,0),总课表!$C$2:$Z$3,2,0)),"",(HLOOKUP(MATCH($P$1,总课表!C29:Z29,0),总课表!$C$2:$Z$3,2,0)))</f>
        <v/>
      </c>
      <c r="E28" s="73" t="str">
        <f>IF(ISERROR(HLOOKUP(MATCH($P$1,总课表!AA29:AX29,0),总课表!$AA$2:$AX$3,2,0)),"",(HLOOKUP(MATCH($P$1,总课表!AA29:AX29,0),总课表!$AA$2:$AX$3,2,0)))</f>
        <v/>
      </c>
      <c r="F28" s="73">
        <f>IF(ISERROR(HLOOKUP(MATCH($P$1,总课表!AY29:BV29,0),总课表!$AY$2:$BV$3,2,0)),"",(HLOOKUP(MATCH($P$1,总课表!AY29:BV29,0),总课表!$AY$2:$BV$3,2,0)))</f>
        <v>202</v>
      </c>
      <c r="G28" s="73" t="str">
        <f>IF(ISERROR(HLOOKUP(MATCH($P$1,总课表!BW29:CV29,0),总课表!$BW$2:$CV$3,2,0)),"",(HLOOKUP(MATCH($P$1,总课表!BW29:CV29,0),总课表!$BW$2:$CV$3,2,0)))</f>
        <v/>
      </c>
      <c r="H28" s="74" t="str">
        <f>IF(ISERROR(HLOOKUP(MATCH($P$1,总课表!CU29:DR29,0),总课表!$CU$2:$DR$3,2,0)),"",(HLOOKUP(MATCH($P$1,总课表!CU29:DR29,0),总课表!$CU$2:$DR$3,2,0)))</f>
        <v/>
      </c>
      <c r="I28" s="73">
        <f>IF(ISERROR(HLOOKUP(MATCH($P$1,总课表!DS29:EP29,0),总课表!$DS$2:$EP$3,2,0)),"",(HLOOKUP(MATCH($P$1,总课表!DS29:EP29,0),总课表!$DS$2:$EP$3,2,0)))</f>
        <v>210</v>
      </c>
      <c r="J28" s="74" t="str">
        <f>IF(ISERROR(HLOOKUP(MATCH($P$1,总课表!EQ29:FN29,0),总课表!$EQ$2:$FN$3,2,0)),"",(HLOOKUP(MATCH($P$1,总课表!EQ29:FN29,0),总课表!$EQ$2:$FN$3,2,0)))</f>
        <v/>
      </c>
      <c r="K28" s="75" t="str">
        <f>IF(ISERROR(HLOOKUP(MATCH($P$1,总课表!FO29:GL29,0),总课表!$FO$2:$GL$3,2,0)),"",(HLOOKUP(MATCH($P$1,总课表!FO29:GL29,0),总课表!$FO$2:$GL$3,2,0)))</f>
        <v/>
      </c>
      <c r="L28" s="73" t="str">
        <f>IF(ISERROR(HLOOKUP(MATCH($P$1,总课表!GM29:HJ29,0),总课表!$GM$2:$HJ$3,2,0)),"",(HLOOKUP(MATCH($P$1,总课表!GM29:HJ29,0),总课表!$GM$2:$HJ$3,2,0)))</f>
        <v/>
      </c>
      <c r="M28" s="73">
        <f>IF(ISERROR(HLOOKUP(MATCH($P$1,总课表!HK29:IH29,0),总课表!$HK$2:$IH$3,2,0)),"",(HLOOKUP(MATCH($P$1,总课表!HK29:IH29,0),总课表!$HK$2:$IH$3,2,0)))</f>
        <v>202</v>
      </c>
      <c r="N28" s="73" t="str">
        <f>IF(ISERROR(HLOOKUP(MATCH($P$1,总课表!II29:JF29,0),总课表!$II$2:$JF$3,2,0)),"",(HLOOKUP(MATCH($P$1,总课表!II29:JF29,0),总课表!$II$2:$JF$3,2,0)))</f>
        <v/>
      </c>
      <c r="O28" s="74" t="str">
        <f>IF(ISERROR(HLOOKUP(MATCH($P$1,总课表!JG29:KD29,0),总课表!$JG$2:$KD$3,2,0)),"",(HLOOKUP(MATCH($P$1,总课表!JG29:KD29,0),总课表!$JG$2:$KD$3,2,0)))</f>
        <v/>
      </c>
      <c r="Q28" s="96"/>
    </row>
    <row r="29" spans="1:25" ht="24" customHeight="1" x14ac:dyDescent="0.4">
      <c r="A29" s="212"/>
      <c r="B29" s="235">
        <v>4</v>
      </c>
      <c r="C29" s="198" t="s">
        <v>194</v>
      </c>
      <c r="D29" s="66" t="str">
        <f>IF(ISERROR(HLOOKUP(MATCH($P$1,总课表!C31:Z31,0),总课表!$C$2:$Z$41,ROW(),0)),"",(HLOOKUP(MATCH($P$1,总课表!C31:Z31,0),总课表!$C$2:$Z$41,ROW(),0)))</f>
        <v/>
      </c>
      <c r="E29" s="67" t="str">
        <f>IF(ISERROR(HLOOKUP(MATCH($P$1,总课表!AA31:AX31,0),总课表!$AA$2:$AX$41,ROW(),0)),"",(HLOOKUP(MATCH($P$1,总课表!AA31:AX31,0),总课表!$AA$2:$AX$41,ROW(),0)))</f>
        <v/>
      </c>
      <c r="F29" s="68" t="str">
        <f>IF(ISERROR(HLOOKUP(MATCH($P$1,总课表!AY31:BV31,0),总课表!$AY$2:$BV$41,ROW(),0)),"",(HLOOKUP(MATCH($P$1,总课表!AY31:BV31,0),总课表!$AY$2:$BV$41,ROW(),0)))</f>
        <v/>
      </c>
      <c r="G29" s="69" t="str">
        <f>IF(ISERROR(HLOOKUP(MATCH($P$1,总课表!BW31:CV31,0),总课表!$BW$2:$CV$41,ROW(),0)),"",(HLOOKUP(MATCH($P$1,总课表!BW31:CV31,0),总课表!$BW$2:$CV$41,ROW(),0)))</f>
        <v/>
      </c>
      <c r="H29" s="70" t="str">
        <f>IF(ISERROR(HLOOKUP(MATCH($P$1,总课表!CU31:DR31,0),总课表!$CU$2:$DR$41,ROW(),0)),"",(HLOOKUP(MATCH($P$1,总课表!CU31:DR31,0),总课表!$CU$2:$DR$41,ROW(),0)))</f>
        <v/>
      </c>
      <c r="I29" s="69" t="str">
        <f>IF(ISERROR(HLOOKUP(MATCH($P$1,总课表!DS31:EP31,0),总课表!$DS$2:$EP$41,ROW(),0)),"",(HLOOKUP(MATCH($P$1,总课表!DS31:EP31,0),总课表!$DS$2:$EP$41,ROW(),0)))</f>
        <v>数学</v>
      </c>
      <c r="J29" s="70" t="str">
        <f>IF(ISERROR(HLOOKUP(MATCH($P$1,总课表!EQ31:FN31,0),总课表!$EQ$2:$FN$41,ROW(),0)),"",(HLOOKUP(MATCH($P$1,总课表!EQ31:FN31,0),总课表!$EQ$2:$FN$41,ROW(),0)))</f>
        <v/>
      </c>
      <c r="K29" s="71" t="str">
        <f>IF(ISERROR(HLOOKUP(MATCH($P$1,总课表!FO31:GL31,0),总课表!$B$2:$GL$41,ROW(),0)),"",(HLOOKUP(MATCH($P$1,总课表!FO31:GL31,0),总课表!$FO$2:$GL$41,ROW(),0)))</f>
        <v/>
      </c>
      <c r="L29" s="67" t="str">
        <f>IF(ISERROR(HLOOKUP(MATCH($P$1,总课表!GM31:HJ31,0),总课表!$GM$2:$HJ$41,ROW(),0)),"",(HLOOKUP(MATCH($P$1,总课表!GM31:HJ31,0),总课表!$GM$2:$HJ$41,ROW(),0)))</f>
        <v/>
      </c>
      <c r="M29" s="68" t="str">
        <f>IF(ISERROR(HLOOKUP(MATCH($P$1,总课表!HK31:IH31,0),总课表!$HK$2:$IH$41,ROW(),0)),"",(HLOOKUP(MATCH($P$1,总课表!HK31:IH31,0),总课表!$HK$2:$IH$41,ROW(),0)))</f>
        <v/>
      </c>
      <c r="N29" s="69" t="str">
        <f>IF(ISERROR(HLOOKUP(MATCH($P$1,总课表!II31:JF31,0),总课表!$II$2:$JF$41,ROW(),0)),"",(HLOOKUP(MATCH($P$1,总课表!II31:JF31,0),总课表!$II$2:$JF$41,ROW(),0)))</f>
        <v/>
      </c>
      <c r="O29" s="70" t="str">
        <f>IF(ISERROR(HLOOKUP(MATCH($P$1,总课表!JG31:KD31,0),总课表!$JG$2:$KD$41,ROW(),0)),"",(HLOOKUP(MATCH($P$1,总课表!JG31:KD31,0),总课表!$JG$2:$KD$41,ROW(),0)))</f>
        <v/>
      </c>
    </row>
    <row r="30" spans="1:25" ht="24" customHeight="1" x14ac:dyDescent="0.4">
      <c r="A30" s="213"/>
      <c r="B30" s="236"/>
      <c r="C30" s="196"/>
      <c r="D30" s="97" t="str">
        <f>IF(ISERROR(HLOOKUP(MATCH($P$1,总课表!C31:Z31,0),总课表!$C$2:$Z$3,2,0)),"",(HLOOKUP(MATCH($P$1,总课表!C31:Z31,0),总课表!$C$2:$Z$3,2,0)))</f>
        <v/>
      </c>
      <c r="E30" s="77" t="str">
        <f>IF(ISERROR(HLOOKUP(MATCH($P$1,总课表!AA31:AX31,0),总课表!$AA$2:$AX$3,2,0)),"",(HLOOKUP(MATCH($P$1,总课表!AA31:AX31,0),总课表!$AA$2:$AX$3,2,0)))</f>
        <v/>
      </c>
      <c r="F30" s="77" t="str">
        <f>IF(ISERROR(HLOOKUP(MATCH($P$1,总课表!AY31:BV31,0),总课表!$AY$2:$BV$3,2,0)),"",(HLOOKUP(MATCH($P$1,总课表!AY31:BV31,0),总课表!$AY$2:$BV$3,2,0)))</f>
        <v/>
      </c>
      <c r="G30" s="77" t="str">
        <f>IF(ISERROR(HLOOKUP(MATCH($P$1,总课表!BW31:CV31,0),总课表!$BW$2:$CV$3,2,0)),"",(HLOOKUP(MATCH($P$1,总课表!BW31:CV31,0),总课表!$BW$2:$CV$3,2,0)))</f>
        <v/>
      </c>
      <c r="H30" s="78" t="str">
        <f>IF(ISERROR(HLOOKUP(MATCH($P$1,总课表!CU31:DR31,0),总课表!$CU$2:$DR$3,2,0)),"",(HLOOKUP(MATCH($P$1,总课表!CU31:DR31,0),总课表!$CU$2:$DR$3,2,0)))</f>
        <v/>
      </c>
      <c r="I30" s="77">
        <f>IF(ISERROR(HLOOKUP(MATCH($P$1,总课表!DS31:EP31,0),总课表!$DS$2:$EP$3,2,0)),"",(HLOOKUP(MATCH($P$1,总课表!DS31:EP31,0),总课表!$DS$2:$EP$3,2,0)))</f>
        <v>202</v>
      </c>
      <c r="J30" s="78" t="str">
        <f>IF(ISERROR(HLOOKUP(MATCH($P$1,总课表!EQ31:FN31,0),总课表!$EQ$2:$FN$3,2,0)),"",(HLOOKUP(MATCH($P$1,总课表!EQ31:FN31,0),总课表!$EQ$2:$FN$3,2,0)))</f>
        <v/>
      </c>
      <c r="K30" s="79" t="str">
        <f>IF(ISERROR(HLOOKUP(MATCH($P$1,总课表!FO31:GL31,0),总课表!$FO$2:$GL$3,2,0)),"",(HLOOKUP(MATCH($P$1,总课表!FO31:GL31,0),总课表!$FO$2:$GL$3,2,0)))</f>
        <v/>
      </c>
      <c r="L30" s="77" t="str">
        <f>IF(ISERROR(HLOOKUP(MATCH($P$1,总课表!GM31:HJ31,0),总课表!$GM$2:$HJ$3,2,0)),"",(HLOOKUP(MATCH($P$1,总课表!GM31:HJ31,0),总课表!$GM$2:$HJ$3,2,0)))</f>
        <v/>
      </c>
      <c r="M30" s="77" t="str">
        <f>IF(ISERROR(HLOOKUP(MATCH($P$1,总课表!HK31:IH31,0),总课表!$HK$2:$IH$3,2,0)),"",(HLOOKUP(MATCH($P$1,总课表!HK31:IH31,0),总课表!$HK$2:$IH$3,2,0)))</f>
        <v/>
      </c>
      <c r="N30" s="77" t="str">
        <f>IF(ISERROR(HLOOKUP(MATCH($P$1,总课表!II31:JF31,0),总课表!$II$2:$JF$3,2,0)),"",(HLOOKUP(MATCH($P$1,总课表!II31:JF31,0),总课表!$II$2:$JF$3,2,0)))</f>
        <v/>
      </c>
      <c r="O30" s="78" t="str">
        <f>IF(ISERROR(HLOOKUP(MATCH($P$1,总课表!JG31:KD31,0),总课表!$JG$2:$KD$3,2,0)),"",(HLOOKUP(MATCH($P$1,总课表!JG31:KD31,0),总课表!$JG$2:$KD$3,2,0)))</f>
        <v/>
      </c>
      <c r="Y30" s="10" t="s">
        <v>224</v>
      </c>
    </row>
    <row r="31" spans="1:25" ht="24" customHeight="1" x14ac:dyDescent="0.4">
      <c r="A31" s="214" t="s">
        <v>195</v>
      </c>
      <c r="B31" s="217" t="s">
        <v>165</v>
      </c>
      <c r="C31" s="243" t="s">
        <v>196</v>
      </c>
      <c r="D31" s="87" t="str">
        <f>IF(ISERROR(HLOOKUP(MATCH($P$1,总课表!C33:Z33,0),总课表!$C$2:$Z$41,ROW(),0)),"",(HLOOKUP(MATCH($P$1,总课表!C33:Z33,0),总课表!$C$2:$Z$41,ROW(),0)))</f>
        <v/>
      </c>
      <c r="E31" s="81" t="str">
        <f>IF(ISERROR(HLOOKUP(MATCH($P$1,总课表!AA33:AX33,0),总课表!$AA$2:$AX$41,ROW(),0)),"",(HLOOKUP(MATCH($P$1,总课表!AA33:AX33,0),总课表!$AA$2:$AX$41,ROW(),0)))</f>
        <v/>
      </c>
      <c r="F31" s="82" t="str">
        <f>IF(ISERROR(HLOOKUP(MATCH($P$1,总课表!AY33:BV33,0),总课表!$AY$2:$BV$41,ROW(),0)),"",(HLOOKUP(MATCH($P$1,总课表!AY33:BV33,0),总课表!$AY$2:$BV$41,ROW(),0)))</f>
        <v/>
      </c>
      <c r="G31" s="83" t="str">
        <f>IF(ISERROR(HLOOKUP(MATCH($P$1,总课表!BW33:CV33,0),总课表!$BW$2:$CV$41,ROW(),0)),"",(HLOOKUP(MATCH($P$1,总课表!BW33:CV33,0),总课表!$BW$2:$CV$41,ROW(),0)))</f>
        <v/>
      </c>
      <c r="H31" s="84" t="str">
        <f>IF(ISERROR(HLOOKUP(MATCH($P$1,总课表!CU33:DR33,0),总课表!$CU$2:$DR$41,ROW(),0)),"",(HLOOKUP(MATCH($P$1,总课表!CU33:DR33,0),总课表!$CU$2:$DR$41,ROW(),0)))</f>
        <v/>
      </c>
      <c r="I31" s="83" t="str">
        <f>IF(ISERROR(HLOOKUP(MATCH($P$1,总课表!DS33:EP33,0),总课表!$DS$2:$EP$41,ROW(),0)),"",(HLOOKUP(MATCH($P$1,总课表!DS33:EP33,0),总课表!$DS$2:$EP$41,ROW(),0)))</f>
        <v/>
      </c>
      <c r="J31" s="84" t="str">
        <f>IF(ISERROR(HLOOKUP(MATCH($P$1,总课表!EQ33:FN33,0),总课表!$EQ$2:$FN$41,ROW(),0)),"",(HLOOKUP(MATCH($P$1,总课表!EQ33:FN33,0),总课表!$EQ$2:$FN$41,ROW(),0)))</f>
        <v/>
      </c>
      <c r="K31" s="85" t="str">
        <f>IF(ISERROR(HLOOKUP(MATCH($P$1,总课表!FO33:GL33,0),总课表!$B$2:$GL$41,ROW(),0)),"",(HLOOKUP(MATCH($P$1,总课表!FO33:GL33,0),总课表!$FO$2:$GL$41,ROW(),0)))</f>
        <v/>
      </c>
      <c r="L31" s="81" t="str">
        <f>IF(ISERROR(HLOOKUP(MATCH($P$1,总课表!GM33:HJ33,0),总课表!$GM$2:$HJ$41,ROW(),0)),"",(HLOOKUP(MATCH($P$1,总课表!GM33:HJ33,0),总课表!$GM$2:$HJ$41,ROW(),0)))</f>
        <v/>
      </c>
      <c r="M31" s="82" t="str">
        <f>IF(ISERROR(HLOOKUP(MATCH($P$1,总课表!HK33:IH33,0),总课表!$HK$2:$IH$41,ROW(),0)),"",(HLOOKUP(MATCH($P$1,总课表!HK33:IH33,0),总课表!$HK$2:$IH$41,ROW(),0)))</f>
        <v/>
      </c>
      <c r="N31" s="83" t="str">
        <f>IF(ISERROR(HLOOKUP(MATCH($P$1,总课表!II33:JF33,0),总课表!$II$2:$JF$41,ROW(),0)),"",(HLOOKUP(MATCH($P$1,总课表!II33:JF33,0),总课表!$II$2:$JF$41,ROW(),0)))</f>
        <v/>
      </c>
      <c r="O31" s="84" t="str">
        <f>IF(ISERROR(HLOOKUP(MATCH($P$1,总课表!JG33:KD33,0),总课表!$JG$2:$KD$41,ROW(),0)),"",(HLOOKUP(MATCH($P$1,总课表!JG33:KD33,0),总课表!$JG$2:$KD$41,ROW(),0)))</f>
        <v/>
      </c>
    </row>
    <row r="32" spans="1:25" ht="24" customHeight="1" x14ac:dyDescent="0.4">
      <c r="A32" s="214"/>
      <c r="B32" s="237"/>
      <c r="C32" s="187"/>
      <c r="D32" s="72" t="str">
        <f>IF(ISERROR(HLOOKUP(MATCH($P$1,总课表!C33:Z33,0),总课表!$C$2:$Z$3,2,0)),"",(HLOOKUP(MATCH($P$1,总课表!C33:Z33,0),总课表!$C$2:$Z$3,2,0)))</f>
        <v/>
      </c>
      <c r="E32" s="73" t="str">
        <f>IF(ISERROR(HLOOKUP(MATCH($P$1,总课表!AA33:AX33,0),总课表!$AA$2:$AX$3,2,0)),"",(HLOOKUP(MATCH($P$1,总课表!AA33:AX33,0),总课表!$AA$2:$AX$3,2,0)))</f>
        <v/>
      </c>
      <c r="F32" s="73" t="str">
        <f>IF(ISERROR(HLOOKUP(MATCH($P$1,总课表!AY33:BV33,0),总课表!$AY$2:$BV$3,2,0)),"",(HLOOKUP(MATCH($P$1,总课表!AY33:BV33,0),总课表!$AY$2:$BV$3,2,0)))</f>
        <v/>
      </c>
      <c r="G32" s="73" t="str">
        <f>IF(ISERROR(HLOOKUP(MATCH($P$1,总课表!BW33:CV33,0),总课表!$BW$2:$CV$3,2,0)),"",(HLOOKUP(MATCH($P$1,总课表!BW33:CV33,0),总课表!$BW$2:$CV$3,2,0)))</f>
        <v/>
      </c>
      <c r="H32" s="74" t="str">
        <f>IF(ISERROR(HLOOKUP(MATCH($P$1,总课表!CU33:DR33,0),总课表!$CU$2:$DR$3,2,0)),"",(HLOOKUP(MATCH($P$1,总课表!CU33:DR33,0),总课表!$CU$2:$DR$3,2,0)))</f>
        <v/>
      </c>
      <c r="I32" s="73" t="str">
        <f>IF(ISERROR(HLOOKUP(MATCH($P$1,总课表!DS33:EP33,0),总课表!$DS$2:$EP$3,2,0)),"",(HLOOKUP(MATCH($P$1,总课表!DS33:EP33,0),总课表!$DS$2:$EP$3,2,0)))</f>
        <v/>
      </c>
      <c r="J32" s="74" t="str">
        <f>IF(ISERROR(HLOOKUP(MATCH($P$1,总课表!EQ33:FN33,0),总课表!$EQ$2:$FN$3,2,0)),"",(HLOOKUP(MATCH($P$1,总课表!EQ33:FN33,0),总课表!$EQ$2:$FN$3,2,0)))</f>
        <v/>
      </c>
      <c r="K32" s="75" t="str">
        <f>IF(ISERROR(HLOOKUP(MATCH($P$1,总课表!FO33:GL33,0),总课表!$FO$2:$GL$3,2,0)),"",(HLOOKUP(MATCH($P$1,总课表!FO33:GL33,0),总课表!$FO$2:$GL$3,2,0)))</f>
        <v/>
      </c>
      <c r="L32" s="73" t="str">
        <f>IF(ISERROR(HLOOKUP(MATCH($P$1,总课表!GM33:HJ33,0),总课表!$GM$2:$HJ$3,2,0)),"",(HLOOKUP(MATCH($P$1,总课表!GM33:HJ33,0),总课表!$GM$2:$HJ$3,2,0)))</f>
        <v/>
      </c>
      <c r="M32" s="73" t="str">
        <f>IF(ISERROR(HLOOKUP(MATCH($P$1,总课表!HK33:IH33,0),总课表!$HK$2:$IH$3,2,0)),"",(HLOOKUP(MATCH($P$1,总课表!HK33:IH33,0),总课表!$HK$2:$IH$3,2,0)))</f>
        <v/>
      </c>
      <c r="N32" s="73" t="str">
        <f>IF(ISERROR(HLOOKUP(MATCH($P$1,总课表!II33:JF33,0),总课表!$II$2:$JF$3,2,0)),"",(HLOOKUP(MATCH($P$1,总课表!II33:JF33,0),总课表!$II$2:$JF$3,2,0)))</f>
        <v/>
      </c>
      <c r="O32" s="74" t="str">
        <f>IF(ISERROR(HLOOKUP(MATCH($P$1,总课表!JG33:KD33,0),总课表!$JG$2:$KD$3,2,0)),"",(HLOOKUP(MATCH($P$1,总课表!JG33:KD33,0),总课表!$JG$2:$KD$3,2,0)))</f>
        <v/>
      </c>
    </row>
    <row r="33" spans="1:19" ht="24" customHeight="1" x14ac:dyDescent="0.4">
      <c r="A33" s="214"/>
      <c r="B33" s="238" t="s">
        <v>197</v>
      </c>
      <c r="C33" s="186" t="s">
        <v>198</v>
      </c>
      <c r="D33" s="66" t="str">
        <f>IF(ISERROR(HLOOKUP(MATCH($P$1,总课表!C35:Z35,0),总课表!$C$2:$Z$41,ROW(),0)),"",(HLOOKUP(MATCH($P$1,总课表!C35:Z35,0),总课表!$C$2:$Z$41,ROW(),0)))</f>
        <v>自习（数）</v>
      </c>
      <c r="E33" s="67" t="str">
        <f>IF(ISERROR(HLOOKUP(MATCH($P$1,总课表!AA35:AX35,0),总课表!$AA$2:$AX$41,ROW(),0)),"",(HLOOKUP(MATCH($P$1,总课表!AA35:AX35,0),总课表!$AA$2:$AX$41,ROW(),0)))</f>
        <v/>
      </c>
      <c r="F33" s="68" t="str">
        <f>IF(ISERROR(HLOOKUP(MATCH($P$1,总课表!AY35:BV35,0),总课表!$AY$2:$BV$41,ROW(),0)),"",(HLOOKUP(MATCH($P$1,总课表!AY35:BV35,0),总课表!$AY$2:$BV$41,ROW(),0)))</f>
        <v>限时（数）</v>
      </c>
      <c r="G33" s="69" t="str">
        <f>IF(ISERROR(HLOOKUP(MATCH($P$1,总课表!BW35:CV35,0),总课表!$BW$2:$CV$41,ROW(),0)),"",(HLOOKUP(MATCH($P$1,总课表!BW35:CV35,0),总课表!$BW$2:$CV$41,ROW(),0)))</f>
        <v/>
      </c>
      <c r="H33" s="70" t="str">
        <f>IF(ISERROR(HLOOKUP(MATCH($P$1,总课表!CU35:DR35,0),总课表!$CU$2:$DR$41,ROW(),0)),"",(HLOOKUP(MATCH($P$1,总课表!CU35:DR35,0),总课表!$CU$2:$DR$41,ROW(),0)))</f>
        <v/>
      </c>
      <c r="I33" s="69" t="str">
        <f>IF(ISERROR(HLOOKUP(MATCH($P$1,总课表!DS35:EP35,0),总课表!$DS$2:$EP$41,ROW(),0)),"",(HLOOKUP(MATCH($P$1,总课表!DS35:EP35,0),总课表!$DS$2:$EP$41,ROW(),0)))</f>
        <v>自习（数）</v>
      </c>
      <c r="J33" s="70" t="str">
        <f>IF(ISERROR(HLOOKUP(MATCH($P$1,总课表!EQ35:FN35,0),总课表!$EQ$2:$FN$41,ROW(),0)),"",(HLOOKUP(MATCH($P$1,总课表!EQ35:FN35,0),总课表!$EQ$2:$FN$41,ROW(),0)))</f>
        <v/>
      </c>
      <c r="K33" s="71" t="str">
        <f>IF(ISERROR(HLOOKUP(MATCH($P$1,总课表!FO35:GL35,0),总课表!$B$2:$GL$41,ROW(),0)),"",(HLOOKUP(MATCH($P$1,总课表!FO35:GL35,0),总课表!$FO$2:$GL$41,ROW(),0)))</f>
        <v>自习（数）</v>
      </c>
      <c r="L33" s="67" t="str">
        <f>IF(ISERROR(HLOOKUP(MATCH($P$1,总课表!GM35:HJ35,0),总课表!$GM$2:$HJ$41,ROW(),0)),"",(HLOOKUP(MATCH($P$1,总课表!GM35:HJ35,0),总课表!$GM$2:$HJ$41,ROW(),0)))</f>
        <v/>
      </c>
      <c r="M33" s="68" t="str">
        <f>IF(ISERROR(HLOOKUP(MATCH($P$1,总课表!HK35:IH35,0),总课表!$HK$2:$IH$41,ROW(),0)),"",(HLOOKUP(MATCH($P$1,总课表!HK35:IH35,0),总课表!$HK$2:$IH$41,ROW(),0)))</f>
        <v>自习（数）</v>
      </c>
      <c r="N33" s="69" t="str">
        <f>IF(ISERROR(HLOOKUP(MATCH($P$1,总课表!II35:JF35,0),总课表!$II$2:$JF$41,ROW(),0)),"",(HLOOKUP(MATCH($P$1,总课表!II35:JF35,0),总课表!$II$2:$JF$41,ROW(),0)))</f>
        <v/>
      </c>
      <c r="O33" s="70" t="str">
        <f>IF(ISERROR(HLOOKUP(MATCH($P$1,总课表!JG35:KD35,0),总课表!$JG$2:$KD$41,ROW(),0)),"",(HLOOKUP(MATCH($P$1,总课表!JG35:KD35,0),总课表!$JG$2:$KD$41,ROW(),0)))</f>
        <v/>
      </c>
    </row>
    <row r="34" spans="1:19" ht="24" customHeight="1" x14ac:dyDescent="0.4">
      <c r="A34" s="214"/>
      <c r="B34" s="237"/>
      <c r="C34" s="187"/>
      <c r="D34" s="72">
        <f>IF(ISERROR(HLOOKUP(MATCH($P$1,总课表!C35:Z35,0),总课表!$C$2:$Z$3,2,0)),"",(HLOOKUP(MATCH($P$1,总课表!C35:Z35,0),总课表!$C$2:$Z$3,2,0)))</f>
        <v>210</v>
      </c>
      <c r="E34" s="73" t="str">
        <f>IF(ISERROR(HLOOKUP(MATCH($P$1,总课表!AA35:AX35,0),总课表!$AA$2:$AX$3,2,0)),"",(HLOOKUP(MATCH($P$1,总课表!AA35:AX35,0),总课表!$AA$2:$AX$3,2,0)))</f>
        <v/>
      </c>
      <c r="F34" s="73">
        <f>IF(ISERROR(HLOOKUP(MATCH($P$1,总课表!AY35:BV35,0),总课表!$AY$2:$BV$3,2,0)),"",(HLOOKUP(MATCH($P$1,总课表!AY35:BV35,0),总课表!$AY$2:$BV$3,2,0)))</f>
        <v>202</v>
      </c>
      <c r="G34" s="73" t="str">
        <f>IF(ISERROR(HLOOKUP(MATCH($P$1,总课表!BW35:CV35,0),总课表!$BW$2:$CV$3,2,0)),"",(HLOOKUP(MATCH($P$1,总课表!BW35:CV35,0),总课表!$BW$2:$CV$3,2,0)))</f>
        <v/>
      </c>
      <c r="H34" s="74" t="str">
        <f>IF(ISERROR(HLOOKUP(MATCH($P$1,总课表!CU35:DR35,0),总课表!$CU$2:$DR$3,2,0)),"",(HLOOKUP(MATCH($P$1,总课表!CU35:DR35,0),总课表!$CU$2:$DR$3,2,0)))</f>
        <v/>
      </c>
      <c r="I34" s="73">
        <f>IF(ISERROR(HLOOKUP(MATCH($P$1,总课表!DS35:EP35,0),总课表!$DS$2:$EP$3,2,0)),"",(HLOOKUP(MATCH($P$1,总课表!DS35:EP35,0),总课表!$DS$2:$EP$3,2,0)))</f>
        <v>202</v>
      </c>
      <c r="J34" s="74" t="str">
        <f>IF(ISERROR(HLOOKUP(MATCH($P$1,总课表!EQ35:FN35,0),总课表!$EQ$2:$FN$3,2,0)),"",(HLOOKUP(MATCH($P$1,总课表!EQ35:FN35,0),总课表!$EQ$2:$FN$3,2,0)))</f>
        <v/>
      </c>
      <c r="K34" s="75">
        <f>IF(ISERROR(HLOOKUP(MATCH($P$1,总课表!FO35:GL35,0),总课表!$FO$2:$GL$3,2,0)),"",(HLOOKUP(MATCH($P$1,总课表!FO35:GL35,0),总课表!$FO$2:$GL$3,2,0)))</f>
        <v>202</v>
      </c>
      <c r="L34" s="73" t="str">
        <f>IF(ISERROR(HLOOKUP(MATCH($P$1,总课表!GM35:HJ35,0),总课表!$GM$2:$HJ$3,2,0)),"",(HLOOKUP(MATCH($P$1,总课表!GM35:HJ35,0),总课表!$GM$2:$HJ$3,2,0)))</f>
        <v/>
      </c>
      <c r="M34" s="73">
        <f>IF(ISERROR(HLOOKUP(MATCH($P$1,总课表!HK35:IH35,0),总课表!$HK$2:$IH$3,2,0)),"",(HLOOKUP(MATCH($P$1,总课表!HK35:IH35,0),总课表!$HK$2:$IH$3,2,0)))</f>
        <v>210</v>
      </c>
      <c r="N34" s="73" t="str">
        <f>IF(ISERROR(HLOOKUP(MATCH($P$1,总课表!II35:JF35,0),总课表!$II$2:$JF$3,2,0)),"",(HLOOKUP(MATCH($P$1,总课表!II35:JF35,0),总课表!$II$2:$JF$3,2,0)))</f>
        <v/>
      </c>
      <c r="O34" s="74" t="str">
        <f>IF(ISERROR(HLOOKUP(MATCH($P$1,总课表!JG35:KD35,0),总课表!$JG$2:$KD$3,2,0)),"",(HLOOKUP(MATCH($P$1,总课表!JG35:KD35,0),总课表!$JG$2:$KD$3,2,0)))</f>
        <v/>
      </c>
    </row>
    <row r="35" spans="1:19" ht="24" customHeight="1" x14ac:dyDescent="0.4">
      <c r="A35" s="214"/>
      <c r="B35" s="238" t="s">
        <v>199</v>
      </c>
      <c r="C35" s="195" t="s">
        <v>200</v>
      </c>
      <c r="D35" s="66" t="str">
        <f>IF(ISERROR(HLOOKUP(MATCH($P$1,总课表!C37:Z37,0),总课表!$C$2:$Z$41,ROW(),0)),"",(HLOOKUP(MATCH($P$1,总课表!C37:Z37,0),总课表!$C$2:$Z$41,ROW(),0)))</f>
        <v>自习（数）</v>
      </c>
      <c r="E35" s="67" t="str">
        <f>IF(ISERROR(HLOOKUP(MATCH($P$1,总课表!AA37:AX37,0),总课表!$AA$2:$AX$41,ROW(),0)),"",(HLOOKUP(MATCH($P$1,总课表!AA37:AX37,0),总课表!$AA$2:$AX$41,ROW(),0)))</f>
        <v/>
      </c>
      <c r="F35" s="68" t="str">
        <f>IF(ISERROR(HLOOKUP(MATCH($P$1,总课表!AY37:BV37,0),总课表!$AY$2:$BV$41,ROW(),0)),"",(HLOOKUP(MATCH($P$1,总课表!AY37:BV37,0),总课表!$AY$2:$BV$41,ROW(),0)))</f>
        <v>自习（数）</v>
      </c>
      <c r="G35" s="69" t="str">
        <f>IF(ISERROR(HLOOKUP(MATCH($P$1,总课表!BW37:CV37,0),总课表!$BW$2:$CV$41,ROW(),0)),"",(HLOOKUP(MATCH($P$1,总课表!BW37:CV37,0),总课表!$BW$2:$CV$41,ROW(),0)))</f>
        <v/>
      </c>
      <c r="H35" s="70" t="str">
        <f>IF(ISERROR(HLOOKUP(MATCH($P$1,总课表!CU37:DR37,0),总课表!$CU$2:$DR$41,ROW(),0)),"",(HLOOKUP(MATCH($P$1,总课表!CU37:DR37,0),总课表!$CU$2:$DR$41,ROW(),0)))</f>
        <v/>
      </c>
      <c r="I35" s="69" t="str">
        <f>IF(ISERROR(HLOOKUP(MATCH($P$1,总课表!DS37:EP37,0),总课表!$DS$2:$EP$41,ROW(),0)),"",(HLOOKUP(MATCH($P$1,总课表!DS37:EP37,0),总课表!$DS$2:$EP$41,ROW(),0)))</f>
        <v>自习（数）</v>
      </c>
      <c r="J35" s="70" t="str">
        <f>IF(ISERROR(HLOOKUP(MATCH($P$1,总课表!EQ37:FN37,0),总课表!$EQ$2:$FN$41,ROW(),0)),"",(HLOOKUP(MATCH($P$1,总课表!EQ37:FN37,0),总课表!$EQ$2:$FN$41,ROW(),0)))</f>
        <v/>
      </c>
      <c r="K35" s="71" t="str">
        <f>IF(ISERROR(HLOOKUP(MATCH($P$1,总课表!FO37:GL37,0),总课表!$B$2:$GL$41,ROW(),0)),"",(HLOOKUP(MATCH($P$1,总课表!FO37:GL37,0),总课表!$FO$2:$GL$41,ROW(),0)))</f>
        <v>自习（数）</v>
      </c>
      <c r="L35" s="67" t="str">
        <f>IF(ISERROR(HLOOKUP(MATCH($P$1,总课表!GM37:HJ37,0),总课表!$GM$2:$HJ$41,ROW(),0)),"",(HLOOKUP(MATCH($P$1,总课表!GM37:HJ37,0),总课表!$GM$2:$HJ$41,ROW(),0)))</f>
        <v/>
      </c>
      <c r="M35" s="68" t="str">
        <f>IF(ISERROR(HLOOKUP(MATCH($P$1,总课表!HK37:IH37,0),总课表!$HK$2:$IH$41,ROW(),0)),"",(HLOOKUP(MATCH($P$1,总课表!HK37:IH37,0),总课表!$HK$2:$IH$41,ROW(),0)))</f>
        <v>自习（数）</v>
      </c>
      <c r="N35" s="69" t="str">
        <f>IF(ISERROR(HLOOKUP(MATCH($P$1,总课表!II37:JF37,0),总课表!$II$2:$JF$41,ROW(),0)),"",(HLOOKUP(MATCH($P$1,总课表!II37:JF37,0),总课表!$II$2:$JF$41,ROW(),0)))</f>
        <v/>
      </c>
      <c r="O35" s="70" t="str">
        <f>IF(ISERROR(HLOOKUP(MATCH($P$1,总课表!JG37:KD37,0),总课表!$JG$2:$KD$41,ROW(),0)),"",(HLOOKUP(MATCH($P$1,总课表!JG37:KD37,0),总课表!$JG$2:$KD$41,ROW(),0)))</f>
        <v/>
      </c>
    </row>
    <row r="36" spans="1:19" ht="24" customHeight="1" x14ac:dyDescent="0.4">
      <c r="A36" s="215"/>
      <c r="B36" s="239"/>
      <c r="C36" s="188"/>
      <c r="D36" s="72">
        <f>IF(ISERROR(HLOOKUP(MATCH($P$1,总课表!C37:Z37,0),总课表!$C$2:$Z$3,2,0)),"",(HLOOKUP(MATCH($P$1,总课表!C37:Z37,0),总课表!$C$2:$Z$3,2,0)))</f>
        <v>210</v>
      </c>
      <c r="E36" s="73" t="str">
        <f>IF(ISERROR(HLOOKUP(MATCH($P$1,总课表!AA37:AX37,0),总课表!$AA$2:$AX$3,2,0)),"",(HLOOKUP(MATCH($P$1,总课表!AA37:AX37,0),总课表!$AA$2:$AX$3,2,0)))</f>
        <v/>
      </c>
      <c r="F36" s="73">
        <f>IF(ISERROR(HLOOKUP(MATCH($P$1,总课表!AY37:BV37,0),总课表!$AY$2:$BV$3,2,0)),"",(HLOOKUP(MATCH($P$1,总课表!AY37:BV37,0),总课表!$AY$2:$BV$3,2,0)))</f>
        <v>210</v>
      </c>
      <c r="G36" s="73" t="str">
        <f>IF(ISERROR(HLOOKUP(MATCH($P$1,总课表!BW37:CV37,0),总课表!$BW$2:$CV$3,2,0)),"",(HLOOKUP(MATCH($P$1,总课表!BW37:CV37,0),总课表!$BW$2:$CV$3,2,0)))</f>
        <v/>
      </c>
      <c r="H36" s="74" t="str">
        <f>IF(ISERROR(HLOOKUP(MATCH($P$1,总课表!CU37:DR37,0),总课表!$CU$2:$DR$3,2,0)),"",(HLOOKUP(MATCH($P$1,总课表!CU37:DR37,0),总课表!$CU$2:$DR$3,2,0)))</f>
        <v/>
      </c>
      <c r="I36" s="73">
        <f>IF(ISERROR(HLOOKUP(MATCH($P$1,总课表!DS37:EP37,0),总课表!$DS$2:$EP$3,2,0)),"",(HLOOKUP(MATCH($P$1,总课表!DS37:EP37,0),总课表!$DS$2:$EP$3,2,0)))</f>
        <v>210</v>
      </c>
      <c r="J36" s="74" t="str">
        <f>IF(ISERROR(HLOOKUP(MATCH($P$1,总课表!EQ37:FN37,0),总课表!$EQ$2:$FN$3,2,0)),"",(HLOOKUP(MATCH($P$1,总课表!EQ37:FN37,0),总课表!$EQ$2:$FN$3,2,0)))</f>
        <v/>
      </c>
      <c r="K36" s="75">
        <f>IF(ISERROR(HLOOKUP(MATCH($P$1,总课表!FO37:GL37,0),总课表!$FO$2:$GL$3,2,0)),"",(HLOOKUP(MATCH($P$1,总课表!FO37:GL37,0),总课表!$FO$2:$GL$3,2,0)))</f>
        <v>202</v>
      </c>
      <c r="L36" s="73" t="str">
        <f>IF(ISERROR(HLOOKUP(MATCH($P$1,总课表!GM37:HJ37,0),总课表!$GM$2:$HJ$3,2,0)),"",(HLOOKUP(MATCH($P$1,总课表!GM37:HJ37,0),总课表!$GM$2:$HJ$3,2,0)))</f>
        <v/>
      </c>
      <c r="M36" s="73">
        <f>IF(ISERROR(HLOOKUP(MATCH($P$1,总课表!HK37:IH37,0),总课表!$HK$2:$IH$3,2,0)),"",(HLOOKUP(MATCH($P$1,总课表!HK37:IH37,0),总课表!$HK$2:$IH$3,2,0)))</f>
        <v>210</v>
      </c>
      <c r="N36" s="73" t="str">
        <f>IF(ISERROR(HLOOKUP(MATCH($P$1,总课表!II37:JF37,0),总课表!$II$2:$JF$3,2,0)),"",(HLOOKUP(MATCH($P$1,总课表!II37:JF37,0),总课表!$II$2:$JF$3,2,0)))</f>
        <v/>
      </c>
      <c r="O36" s="74" t="str">
        <f>IF(ISERROR(HLOOKUP(MATCH($P$1,总课表!JG37:KD37,0),总课表!$JG$2:$KD$3,2,0)),"",(HLOOKUP(MATCH($P$1,总课表!JG37:KD37,0),总课表!$JG$2:$KD$3,2,0)))</f>
        <v/>
      </c>
    </row>
    <row r="37" spans="1:19" ht="23" customHeight="1" x14ac:dyDescent="0.4">
      <c r="A37" s="214"/>
      <c r="B37" s="217" t="s">
        <v>201</v>
      </c>
      <c r="C37" s="195" t="s">
        <v>202</v>
      </c>
      <c r="D37" s="66" t="str">
        <f>IF(ISERROR(HLOOKUP(MATCH($P$1,总课表!C39:Z39,0),总课表!$C$2:$Z$41,ROW(),0)),"",(HLOOKUP(MATCH($P$1,总课表!C39:Z39,0),总课表!$C$2:$Z$41,ROW(),0)))</f>
        <v>自习（数）</v>
      </c>
      <c r="E37" s="67" t="str">
        <f>IF(ISERROR(HLOOKUP(MATCH($P$1,总课表!AA39:AX39,0),总课表!$AA$2:$AX$41,ROW(),0)),"",(HLOOKUP(MATCH($P$1,总课表!AA39:AX39,0),总课表!$AA$2:$AX$41,ROW(),0)))</f>
        <v/>
      </c>
      <c r="F37" s="68" t="str">
        <f>IF(ISERROR(HLOOKUP(MATCH($P$1,总课表!AY39:BV39,0),总课表!$AY$2:$BV$41,ROW(),0)),"",(HLOOKUP(MATCH($P$1,总课表!AY39:BV39,0),总课表!$AY$2:$BV$41,ROW(),0)))</f>
        <v>自习（数）</v>
      </c>
      <c r="G37" s="69" t="str">
        <f>IF(ISERROR(HLOOKUP(MATCH($P$1,总课表!BW39:CV39,0),总课表!$BW$2:$CV$41,ROW(),0)),"",(HLOOKUP(MATCH($P$1,总课表!BW39:CV39,0),总课表!$BW$2:$CV$41,ROW(),0)))</f>
        <v/>
      </c>
      <c r="H37" s="70" t="str">
        <f>IF(ISERROR(HLOOKUP(MATCH($P$1,总课表!CU39:DR39,0),总课表!$CU$2:$DR$41,ROW(),0)),"",(HLOOKUP(MATCH($P$1,总课表!CU39:DR39,0),总课表!$CU$2:$DR$41,ROW(),0)))</f>
        <v/>
      </c>
      <c r="I37" s="69" t="str">
        <f>IF(ISERROR(HLOOKUP(MATCH($P$1,总课表!DS39:EP39,0),总课表!$DS$2:$EP$41,ROW(),0)),"",(HLOOKUP(MATCH($P$1,总课表!DS39:EP39,0),总课表!$DS$2:$EP$41,ROW(),0)))</f>
        <v>自习（数）</v>
      </c>
      <c r="J37" s="70" t="str">
        <f>IF(ISERROR(HLOOKUP(MATCH($P$1,总课表!EQ39:FN39,0),总课表!$EQ$2:$FN$41,ROW(),0)),"",(HLOOKUP(MATCH($P$1,总课表!EQ39:FN39,0),总课表!$EQ$2:$FN$41,ROW(),0)))</f>
        <v/>
      </c>
      <c r="K37" s="71" t="str">
        <f>IF(ISERROR(HLOOKUP(MATCH($P$1,总课表!FO39:GL39,0),总课表!$B$2:$GL$41,ROW(),0)),"",(HLOOKUP(MATCH($P$1,总课表!FO39:GL39,0),总课表!$FO$2:$GL$41,ROW(),0)))</f>
        <v>自习（数）</v>
      </c>
      <c r="L37" s="67" t="str">
        <f>IF(ISERROR(HLOOKUP(MATCH($P$1,总课表!GM39:HJ39,0),总课表!$GM$2:$HJ$41,ROW(),0)),"",(HLOOKUP(MATCH($P$1,总课表!GM39:HJ39,0),总课表!$GM$2:$HJ$41,ROW(),0)))</f>
        <v/>
      </c>
      <c r="M37" s="68" t="str">
        <f>IF(ISERROR(HLOOKUP(MATCH($P$1,总课表!HK39:IH39,0),总课表!$HK$2:$IH$41,ROW(),0)),"",(HLOOKUP(MATCH($P$1,总课表!HK39:IH39,0),总课表!$HK$2:$IH$41,ROW(),0)))</f>
        <v>自习（数）</v>
      </c>
      <c r="N37" s="69" t="str">
        <f>IF(ISERROR(HLOOKUP(MATCH($P$1,总课表!II39:JF39,0),总课表!$II$2:$JF$41,ROW(),0)),"",(HLOOKUP(MATCH($P$1,总课表!II39:JF39,0),总课表!$II$2:$JF$41,ROW(),0)))</f>
        <v/>
      </c>
      <c r="O37" s="70" t="str">
        <f>IF(ISERROR(HLOOKUP(MATCH($P$1,总课表!JG39:KD39,0),总课表!$JG$2:$KD$41,ROW(),0)),"",(HLOOKUP(MATCH($P$1,总课表!JG39:KD39,0),总课表!$JG$2:$KD$41,ROW(),0)))</f>
        <v/>
      </c>
      <c r="S37" s="10" t="s">
        <v>224</v>
      </c>
    </row>
    <row r="38" spans="1:19" ht="23" customHeight="1" x14ac:dyDescent="0.4">
      <c r="A38" s="214"/>
      <c r="B38" s="239"/>
      <c r="C38" s="188"/>
      <c r="D38" s="72">
        <f>IF(ISERROR(HLOOKUP(MATCH($P$1,总课表!C39:Z39,0),总课表!$C$2:$Z$3,2,0)),"",(HLOOKUP(MATCH($P$1,总课表!C39:Z39,0),总课表!$C$2:$Z$3,2,0)))</f>
        <v>202</v>
      </c>
      <c r="E38" s="73" t="str">
        <f>IF(ISERROR(HLOOKUP(MATCH($P$1,总课表!AA39:AX39,0),总课表!$AA$2:$AX$3,2,0)),"",(HLOOKUP(MATCH($P$1,总课表!AA39:AX39,0),总课表!$AA$2:$AX$3,2,0)))</f>
        <v/>
      </c>
      <c r="F38" s="73">
        <f>IF(ISERROR(HLOOKUP(MATCH($P$1,总课表!AY39:BV39,0),总课表!$AY$2:$BV$3,2,0)),"",(HLOOKUP(MATCH($P$1,总课表!AY39:BV39,0),总课表!$AY$2:$BV$3,2,0)))</f>
        <v>202</v>
      </c>
      <c r="G38" s="73" t="str">
        <f>IF(ISERROR(HLOOKUP(MATCH($P$1,总课表!BW39:CV39,0),总课表!$BW$2:$CV$3,2,0)),"",(HLOOKUP(MATCH($P$1,总课表!BW39:CV39,0),总课表!$BW$2:$CV$3,2,0)))</f>
        <v/>
      </c>
      <c r="H38" s="74" t="str">
        <f>IF(ISERROR(HLOOKUP(MATCH($P$1,总课表!CU39:DR39,0),总课表!$CU$2:$DR$3,2,0)),"",(HLOOKUP(MATCH($P$1,总课表!CU39:DR39,0),总课表!$CU$2:$DR$3,2,0)))</f>
        <v/>
      </c>
      <c r="I38" s="73">
        <f>IF(ISERROR(HLOOKUP(MATCH($P$1,总课表!DS39:EP39,0),总课表!$DS$2:$EP$3,2,0)),"",(HLOOKUP(MATCH($P$1,总课表!DS39:EP39,0),总课表!$DS$2:$EP$3,2,0)))</f>
        <v>202</v>
      </c>
      <c r="J38" s="74" t="str">
        <f>IF(ISERROR(HLOOKUP(MATCH($P$1,总课表!EQ39:FN39,0),总课表!$EQ$2:$FN$3,2,0)),"",(HLOOKUP(MATCH($P$1,总课表!EQ39:FN39,0),总课表!$EQ$2:$FN$3,2,0)))</f>
        <v/>
      </c>
      <c r="K38" s="75">
        <f>IF(ISERROR(HLOOKUP(MATCH($P$1,总课表!FO39:GL39,0),总课表!$FO$2:$GL$3,2,0)),"",(HLOOKUP(MATCH($P$1,总课表!FO39:GL39,0),总课表!$FO$2:$GL$3,2,0)))</f>
        <v>210</v>
      </c>
      <c r="L38" s="73" t="str">
        <f>IF(ISERROR(HLOOKUP(MATCH($P$1,总课表!GM39:HJ39,0),总课表!$GM$2:$HJ$3,2,0)),"",(HLOOKUP(MATCH($P$1,总课表!GM39:HJ39,0),总课表!$GM$2:$HJ$3,2,0)))</f>
        <v/>
      </c>
      <c r="M38" s="73">
        <f>IF(ISERROR(HLOOKUP(MATCH($P$1,总课表!HK39:IH39,0),总课表!$HK$2:$IH$3,2,0)),"",(HLOOKUP(MATCH($P$1,总课表!HK39:IH39,0),总课表!$HK$2:$IH$3,2,0)))</f>
        <v>202</v>
      </c>
      <c r="N38" s="73" t="str">
        <f>IF(ISERROR(HLOOKUP(MATCH($P$1,总课表!II39:JF39,0),总课表!$II$2:$JF$3,2,0)),"",(HLOOKUP(MATCH($P$1,总课表!II39:JF39,0),总课表!$II$2:$JF$3,2,0)))</f>
        <v/>
      </c>
      <c r="O38" s="74" t="str">
        <f>IF(ISERROR(HLOOKUP(MATCH($P$1,总课表!JG39:KD39,0),总课表!$JG$2:$KD$3,2,0)),"",(HLOOKUP(MATCH($P$1,总课表!JG39:KD39,0),总课表!$JG$2:$KD$3,2,0)))</f>
        <v/>
      </c>
    </row>
    <row r="39" spans="1:19" s="58" customFormat="1" ht="23" customHeight="1" x14ac:dyDescent="0.4">
      <c r="A39" s="214"/>
      <c r="B39" s="217" t="s">
        <v>203</v>
      </c>
      <c r="C39" s="195" t="s">
        <v>204</v>
      </c>
      <c r="D39" s="66" t="str">
        <f>IF(ISERROR(HLOOKUP(MATCH($P$1,总课表!C41:Z41,0),总课表!$C$2:$Z$41,ROW(),0)),"",(HLOOKUP(MATCH($P$1,总课表!C41:Z41,0),总课表!$C$2:$Z$41,ROW(),0)))</f>
        <v>自习（数）</v>
      </c>
      <c r="E39" s="67" t="str">
        <f>IF(ISERROR(HLOOKUP(MATCH($P$1,总课表!AA41:AX41,0),总课表!$AA$2:$AX$41,ROW(),0)),"",(HLOOKUP(MATCH($P$1,总课表!AA41:AX41,0),总课表!$AA$2:$AX$41,ROW(),0)))</f>
        <v/>
      </c>
      <c r="F39" s="68" t="str">
        <f>IF(ISERROR(HLOOKUP(MATCH($P$1,总课表!AY41:BV41,0),总课表!$AY$2:$BV$41,ROW(),0)),"",(HLOOKUP(MATCH($P$1,总课表!AY41:BV41,0),总课表!$AY$2:$BV$41,ROW(),0)))</f>
        <v>自习（数）</v>
      </c>
      <c r="G39" s="69" t="str">
        <f>IF(ISERROR(HLOOKUP(MATCH($P$1,总课表!BW41:CV41,0),总课表!$BW$2:$CV$41,ROW(),0)),"",(HLOOKUP(MATCH($P$1,总课表!BW41:CV41,0),总课表!$BW$2:$CV$41,ROW(),0)))</f>
        <v/>
      </c>
      <c r="H39" s="70" t="str">
        <f>IF(ISERROR(HLOOKUP(MATCH($P$1,总课表!CU41:DR41,0),总课表!$CU$2:$DR$41,ROW(),0)),"",(HLOOKUP(MATCH($P$1,总课表!CU41:DR41,0),总课表!$CU$2:$DR$41,ROW(),0)))</f>
        <v/>
      </c>
      <c r="I39" s="69" t="str">
        <f>IF(ISERROR(HLOOKUP(MATCH($P$1,总课表!DS41:EP41,0),总课表!$DS$2:$EP$41,ROW(),0)),"",(HLOOKUP(MATCH($P$1,总课表!DS41:EP41,0),总课表!$DS$2:$EP$41,ROW(),0)))</f>
        <v>自习（数）</v>
      </c>
      <c r="J39" s="70" t="str">
        <f>IF(ISERROR(HLOOKUP(MATCH($P$1,总课表!EQ41:FN41,0),总课表!$EQ$2:$FN$41,ROW(),0)),"",(HLOOKUP(MATCH($P$1,总课表!EQ41:FN41,0),总课表!$EQ$2:$FN$41,ROW(),0)))</f>
        <v/>
      </c>
      <c r="K39" s="71" t="str">
        <f>IF(ISERROR(HLOOKUP(MATCH($P$1,总课表!FO41:GL41,0),总课表!$B$2:$GL$41,ROW(),0)),"",(HLOOKUP(MATCH($P$1,总课表!FO41:GL41,0),总课表!$FO$2:$GL$41,ROW(),0)))</f>
        <v>自习（数）</v>
      </c>
      <c r="L39" s="67" t="str">
        <f>IF(ISERROR(HLOOKUP(MATCH($P$1,总课表!GM41:HJ41,0),总课表!$GM$2:$HJ$41,ROW(),0)),"",(HLOOKUP(MATCH($P$1,总课表!GM41:HJ41,0),总课表!$GM$2:$HJ$41,ROW(),0)))</f>
        <v/>
      </c>
      <c r="M39" s="68" t="str">
        <f>IF(ISERROR(HLOOKUP(MATCH($P$1,总课表!HK41:IH41,0),总课表!$HK$2:$IH$41,ROW(),0)),"",(HLOOKUP(MATCH($P$1,总课表!HK41:IH41,0),总课表!$HK$2:$IH$41,ROW(),0)))</f>
        <v>限时（数）</v>
      </c>
      <c r="N39" s="69" t="str">
        <f>IF(ISERROR(HLOOKUP(MATCH($P$1,总课表!II41:JF41,0),总课表!$II$2:$JF$41,ROW(),0)),"",(HLOOKUP(MATCH($P$1,总课表!II41:JF41,0),总课表!$II$2:$JF$41,ROW(),0)))</f>
        <v/>
      </c>
      <c r="O39" s="70" t="str">
        <f>IF(ISERROR(HLOOKUP(MATCH($P$1,总课表!JG41:KD41,0),总课表!$JG$2:$KD$41,ROW(),0)),"",(HLOOKUP(MATCH($P$1,总课表!JG41:KD41,0),总课表!$JG$2:$KD$41,ROW(),0)))</f>
        <v/>
      </c>
      <c r="Q39" s="10"/>
    </row>
    <row r="40" spans="1:19" s="58" customFormat="1" ht="23" customHeight="1" x14ac:dyDescent="0.4">
      <c r="A40" s="215"/>
      <c r="B40" s="240"/>
      <c r="C40" s="200"/>
      <c r="D40" s="98">
        <f>IF(ISERROR(HLOOKUP(MATCH($P$1,总课表!C41:Z41,0),总课表!$C$2:$Z$3,2,0)),"",(HLOOKUP(MATCH($P$1,总课表!C41:Z41,0),总课表!$C$2:$Z$3,2,0)))</f>
        <v>202</v>
      </c>
      <c r="E40" s="99" t="str">
        <f>IF(ISERROR(HLOOKUP(MATCH($P$1,总课表!AA41:AX41,0),总课表!$AA$2:$AX$3,2,0)),"",(HLOOKUP(MATCH($P$1,总课表!AA41:AX41,0),总课表!$AA$2:$AX$3,2,0)))</f>
        <v/>
      </c>
      <c r="F40" s="99">
        <f>IF(ISERROR(HLOOKUP(MATCH($P$1,总课表!AY41:BV41,0),总课表!$AY$2:$BV$3,2,0)),"",(HLOOKUP(MATCH($P$1,总课表!AY41:BV41,0),总课表!$AY$2:$BV$3,2,0)))</f>
        <v>210</v>
      </c>
      <c r="G40" s="99" t="str">
        <f>IF(ISERROR(HLOOKUP(MATCH($P$1,总课表!BW41:CV41,0),总课表!$BW$2:$CV$3,2,0)),"",(HLOOKUP(MATCH($P$1,总课表!BW41:CV41,0),总课表!$BW$2:$CV$3,2,0)))</f>
        <v/>
      </c>
      <c r="H40" s="100" t="str">
        <f>IF(ISERROR(HLOOKUP(MATCH($P$1,总课表!CU41:DR41,0),总课表!$CU$2:$DR$3,2,0)),"",(HLOOKUP(MATCH($P$1,总课表!CU41:DR41,0),总课表!$CU$2:$DR$3,2,0)))</f>
        <v/>
      </c>
      <c r="I40" s="99">
        <f>IF(ISERROR(HLOOKUP(MATCH($P$1,总课表!DS41:EP41,0),总课表!$DS$2:$EP$3,2,0)),"",(HLOOKUP(MATCH($P$1,总课表!DS41:EP41,0),总课表!$DS$2:$EP$3,2,0)))</f>
        <v>210</v>
      </c>
      <c r="J40" s="100" t="str">
        <f>IF(ISERROR(HLOOKUP(MATCH($P$1,总课表!EQ41:FN41,0),总课表!$EQ$2:$FN$3,2,0)),"",(HLOOKUP(MATCH($P$1,总课表!EQ41:FN41,0),总课表!$EQ$2:$FN$3,2,0)))</f>
        <v/>
      </c>
      <c r="K40" s="101">
        <f>IF(ISERROR(HLOOKUP(MATCH($P$1,总课表!FO41:GL41,0),总课表!$FO$2:$GL$3,2,0)),"",(HLOOKUP(MATCH($P$1,总课表!FO41:GL41,0),总课表!$FO$2:$GL$3,2,0)))</f>
        <v>210</v>
      </c>
      <c r="L40" s="99" t="str">
        <f>IF(ISERROR(HLOOKUP(MATCH($P$1,总课表!GM41:HJ41,0),总课表!$GM$2:$HJ$3,2,0)),"",(HLOOKUP(MATCH($P$1,总课表!GM41:HJ41,0),总课表!$GM$2:$HJ$3,2,0)))</f>
        <v/>
      </c>
      <c r="M40" s="99">
        <f>IF(ISERROR(HLOOKUP(MATCH($P$1,总课表!HK41:IH41,0),总课表!$HK$2:$IH$3,2,0)),"",(HLOOKUP(MATCH($P$1,总课表!HK41:IH41,0),总课表!$HK$2:$IH$3,2,0)))</f>
        <v>202</v>
      </c>
      <c r="N40" s="99" t="str">
        <f>IF(ISERROR(HLOOKUP(MATCH($P$1,总课表!II41:JF41,0),总课表!$II$2:$JF$3,2,0)),"",(HLOOKUP(MATCH($P$1,总课表!II41:JF41,0),总课表!$II$2:$JF$3,2,0)))</f>
        <v/>
      </c>
      <c r="O40" s="100" t="str">
        <f>IF(ISERROR(HLOOKUP(MATCH($P$1,总课表!JG41:KD41,0),总课表!$JG$2:$KD$3,2,0)),"",(HLOOKUP(MATCH($P$1,总课表!JG41:KD41,0),总课表!$JG$2:$KD$3,2,0)))</f>
        <v/>
      </c>
      <c r="Q40" s="10"/>
    </row>
    <row r="41" spans="1:19" s="59" customFormat="1" ht="12.75" x14ac:dyDescent="0.3">
      <c r="A41" s="1" t="s">
        <v>30</v>
      </c>
      <c r="B41" s="102"/>
      <c r="C41" s="102"/>
      <c r="D41" s="103"/>
      <c r="E41" s="104">
        <f>COUNTIF(总课表!$A$9:$JY$31,A41)</f>
        <v>31</v>
      </c>
      <c r="F41" s="104">
        <f>COUNTIF(总课表!$A$6:$JU$7,A41)</f>
        <v>8</v>
      </c>
      <c r="G41" s="104">
        <f>COUNTIF(总课表!$A$35:$JU$41,A41)</f>
        <v>16</v>
      </c>
      <c r="H41" s="104">
        <f>COUNTIF(总课表!$A$33:$JU$33,A41)</f>
        <v>4</v>
      </c>
      <c r="I41" s="104">
        <f>COUNTIF(总课表!$A$35:$JU$39,A41)</f>
        <v>12</v>
      </c>
      <c r="J41" s="104">
        <f>COUNTIF(总课表!$A$41:$JU$41,A41)</f>
        <v>4</v>
      </c>
      <c r="K41" s="104">
        <f>COUNTIF(总课表!$A$6:$JF$7,A41)</f>
        <v>7</v>
      </c>
      <c r="L41" s="104">
        <f>COUNTIF(总课表!$II$28:$JF$31,A41)</f>
        <v>0</v>
      </c>
      <c r="M41" s="104">
        <f>COUNTIF(总课表!$A$33:$FN$33,A41)</f>
        <v>2</v>
      </c>
      <c r="N41" s="104">
        <f>COUNTIF(总课表!$II$35:$JF$39,A41)</f>
        <v>0</v>
      </c>
      <c r="O41" s="104">
        <f>COUNTIF(总课表!$II$41:$JF$41,A41)</f>
        <v>0</v>
      </c>
      <c r="P41" s="105">
        <f>COUNTIF(总课表!$A$26:$GL$27,A41)</f>
        <v>2</v>
      </c>
      <c r="Q41" s="105">
        <f>COUNTIF(总课表!$A$9:$GL$25,A41)</f>
        <v>15</v>
      </c>
      <c r="R41" s="102">
        <f>COUNTIF(总课表!$A$28:$GL$31,A41)</f>
        <v>3</v>
      </c>
    </row>
    <row r="42" spans="1:19" s="59" customFormat="1" ht="12.75" x14ac:dyDescent="0.3">
      <c r="A42" s="106" t="s">
        <v>33</v>
      </c>
      <c r="B42" s="102"/>
      <c r="C42" s="102"/>
      <c r="D42" s="102"/>
      <c r="E42" s="107">
        <f>COUNTIF(总课表!$A$9:$JY$31,A42)</f>
        <v>33</v>
      </c>
      <c r="F42" s="107">
        <f>COUNTIF(总课表!$A$6:$JU$7,A42)</f>
        <v>7</v>
      </c>
      <c r="G42" s="107">
        <f>COUNTIF(总课表!$A$35:$JU$41,A42)</f>
        <v>16</v>
      </c>
      <c r="H42" s="107">
        <f>COUNTIF(总课表!$A$33:$JU$33,A42)</f>
        <v>4</v>
      </c>
      <c r="I42" s="107">
        <f>COUNTIF(总课表!$A$35:$JU$39,A42)</f>
        <v>11</v>
      </c>
      <c r="J42" s="107">
        <f>COUNTIF(总课表!$A$41:$JU$41,A42)</f>
        <v>5</v>
      </c>
      <c r="K42" s="104">
        <f>COUNTIF(总课表!$A$6:$JF$7,A42)</f>
        <v>7</v>
      </c>
      <c r="L42" s="104">
        <f>COUNTIF(总课表!$II$28:$JF$31,A42)</f>
        <v>0</v>
      </c>
      <c r="M42" s="104">
        <f>COUNTIF(总课表!$A$33:$FN$33,A42)</f>
        <v>3</v>
      </c>
      <c r="N42" s="104">
        <f>COUNTIF(总课表!$II$35:$JF$39,A42)</f>
        <v>2</v>
      </c>
      <c r="O42" s="104">
        <f>COUNTIF(总课表!$II$41:$JF$41,A42)</f>
        <v>1</v>
      </c>
      <c r="P42" s="105">
        <f>COUNTIF(总课表!$A$26:$GL$27,A42)</f>
        <v>2</v>
      </c>
      <c r="Q42" s="105">
        <f>COUNTIF(总课表!$A$9:$GL$25,A42)</f>
        <v>15</v>
      </c>
      <c r="R42" s="102">
        <f>COUNTIF(总课表!$A$28:$GL$31,A42)</f>
        <v>5</v>
      </c>
    </row>
    <row r="43" spans="1:19" s="59" customFormat="1" ht="12.75" x14ac:dyDescent="0.3">
      <c r="A43" s="106" t="s">
        <v>29</v>
      </c>
      <c r="B43" s="102"/>
      <c r="C43" s="102"/>
      <c r="D43" s="102"/>
      <c r="E43" s="107">
        <f>COUNTIF(总课表!$A$9:$JY$31,A43)</f>
        <v>33</v>
      </c>
      <c r="F43" s="107">
        <f>COUNTIF(总课表!$A$6:$JU$7,A43)</f>
        <v>8</v>
      </c>
      <c r="G43" s="107">
        <f>COUNTIF(总课表!$A$35:$JU$41,A43)</f>
        <v>16</v>
      </c>
      <c r="H43" s="107">
        <f>COUNTIF(总课表!$A$33:$JU$33,A43)</f>
        <v>4</v>
      </c>
      <c r="I43" s="107">
        <f>COUNTIF(总课表!$A$35:$JU$39,A43)</f>
        <v>11</v>
      </c>
      <c r="J43" s="107">
        <f>COUNTIF(总课表!$A$41:$JU$41,A43)</f>
        <v>5</v>
      </c>
      <c r="K43" s="104">
        <f>COUNTIF(总课表!$A$6:$JF$7,A43)</f>
        <v>7</v>
      </c>
      <c r="L43" s="104">
        <f>COUNTIF(总课表!$II$28:$JF$31,A43)</f>
        <v>0</v>
      </c>
      <c r="M43" s="104">
        <f>COUNTIF(总课表!$A$33:$FN$33,A43)</f>
        <v>3</v>
      </c>
      <c r="N43" s="104">
        <f>COUNTIF(总课表!$II$35:$JF$39,A43)</f>
        <v>0</v>
      </c>
      <c r="O43" s="104">
        <f>COUNTIF(总课表!$II$41:$JF$41,A43)</f>
        <v>0</v>
      </c>
      <c r="P43" s="105">
        <f>COUNTIF(总课表!$A$26:$GL$27,A43)</f>
        <v>2</v>
      </c>
      <c r="Q43" s="105">
        <f>COUNTIF(总课表!$A$9:$GL$25,A43)</f>
        <v>15</v>
      </c>
      <c r="R43" s="102">
        <f>COUNTIF(总课表!$A$28:$GL$31,A43)</f>
        <v>5</v>
      </c>
    </row>
    <row r="44" spans="1:19" s="59" customFormat="1" ht="12.75" x14ac:dyDescent="0.3">
      <c r="A44" s="106" t="s">
        <v>32</v>
      </c>
      <c r="B44" s="102"/>
      <c r="C44" s="102"/>
      <c r="D44" s="102"/>
      <c r="E44" s="107">
        <f>COUNTIF(总课表!$A$9:$JY$31,A44)</f>
        <v>40</v>
      </c>
      <c r="F44" s="107">
        <f>COUNTIF(总课表!$A$6:$JU$7,A44)</f>
        <v>11</v>
      </c>
      <c r="G44" s="107">
        <f>COUNTIF(总课表!$A$35:$JU$41,A44)</f>
        <v>24</v>
      </c>
      <c r="H44" s="107">
        <f>COUNTIF(总课表!$A$33:$JU$33,A44)</f>
        <v>6</v>
      </c>
      <c r="I44" s="107">
        <f>COUNTIF(总课表!$A$35:$JU$39,A44)</f>
        <v>17</v>
      </c>
      <c r="J44" s="107">
        <f>COUNTIF(总课表!$A$41:$JU$41,A44)</f>
        <v>7</v>
      </c>
      <c r="K44" s="104">
        <f>COUNTIF(总课表!$A$6:$JF$7,A44)</f>
        <v>10</v>
      </c>
      <c r="L44" s="104">
        <f>COUNTIF(总课表!$II$28:$JF$31,A44)</f>
        <v>0</v>
      </c>
      <c r="M44" s="104">
        <f>COUNTIF(总课表!$A$33:$FN$33,A44)</f>
        <v>4</v>
      </c>
      <c r="N44" s="104">
        <f>COUNTIF(总课表!$II$35:$JF$39,A44)</f>
        <v>3</v>
      </c>
      <c r="O44" s="104">
        <f>COUNTIF(总课表!$II$41:$JF$41,A44)</f>
        <v>1</v>
      </c>
      <c r="P44" s="105">
        <f>COUNTIF(总课表!$A$26:$GL$27,A44)</f>
        <v>2</v>
      </c>
      <c r="Q44" s="105">
        <f>COUNTIF(总课表!$A$9:$GL$25,A44)</f>
        <v>20</v>
      </c>
      <c r="R44" s="102">
        <f>COUNTIF(总课表!$A$28:$GL$31,A44)</f>
        <v>4</v>
      </c>
    </row>
    <row r="45" spans="1:19" s="59" customFormat="1" ht="12.75" x14ac:dyDescent="0.3">
      <c r="A45" s="1" t="s">
        <v>27</v>
      </c>
      <c r="B45" s="102"/>
      <c r="C45" s="102"/>
      <c r="D45" s="102"/>
      <c r="E45" s="107">
        <f>COUNTIF(总课表!$A$9:$JY$31,A45)</f>
        <v>31</v>
      </c>
      <c r="F45" s="107">
        <f>COUNTIF(总课表!$A$6:$JU$7,A45)</f>
        <v>8</v>
      </c>
      <c r="G45" s="107">
        <f>COUNTIF(总课表!$A$35:$JU$41,A45)</f>
        <v>14</v>
      </c>
      <c r="H45" s="107">
        <f>COUNTIF(总课表!$A$33:$JU$33,A45)</f>
        <v>4</v>
      </c>
      <c r="I45" s="107">
        <f>COUNTIF(总课表!$A$35:$JU$39,A45)</f>
        <v>9</v>
      </c>
      <c r="J45" s="107">
        <f>COUNTIF(总课表!$A$41:$JU$41,A45)</f>
        <v>5</v>
      </c>
      <c r="K45" s="104">
        <f>COUNTIF(总课表!$A$6:$JF$7,A45)</f>
        <v>8</v>
      </c>
      <c r="L45" s="104">
        <f>COUNTIF(总课表!$II$28:$JF$31,A45)</f>
        <v>0</v>
      </c>
      <c r="M45" s="104">
        <f>COUNTIF(总课表!$A$33:$FN$33,A45)</f>
        <v>4</v>
      </c>
      <c r="N45" s="104">
        <f>COUNTIF(总课表!$II$35:$JF$39,A45)</f>
        <v>0</v>
      </c>
      <c r="O45" s="104">
        <f>COUNTIF(总课表!$II$41:$JF$41,A45)</f>
        <v>0</v>
      </c>
      <c r="P45" s="105">
        <f>COUNTIF(总课表!$A$26:$GL$27,A45)</f>
        <v>2</v>
      </c>
      <c r="Q45" s="105">
        <f>COUNTIF(总课表!$A$9:$GL$25,A45)</f>
        <v>13</v>
      </c>
      <c r="R45" s="102">
        <f>COUNTIF(总课表!$A$28:$GL$31,A45)</f>
        <v>4</v>
      </c>
    </row>
    <row r="46" spans="1:19" s="59" customFormat="1" ht="12.75" x14ac:dyDescent="0.3">
      <c r="A46" s="1" t="s">
        <v>31</v>
      </c>
      <c r="B46" s="102"/>
      <c r="C46" s="102"/>
      <c r="D46" s="102"/>
      <c r="E46" s="107">
        <f>COUNTIF(总课表!$A$9:$JY$31,A46)</f>
        <v>26</v>
      </c>
      <c r="F46" s="107">
        <f>COUNTIF(总课表!$A$6:$JU$7,A46)</f>
        <v>8</v>
      </c>
      <c r="G46" s="107">
        <f>COUNTIF(总课表!$A$35:$JU$41,A46)</f>
        <v>8</v>
      </c>
      <c r="H46" s="107">
        <f>COUNTIF(总课表!$A$33:$JU$33,A46)</f>
        <v>2</v>
      </c>
      <c r="I46" s="107">
        <f>COUNTIF(总课表!$A$35:$JU$39,A46)</f>
        <v>6</v>
      </c>
      <c r="J46" s="107">
        <f>COUNTIF(总课表!$A$41:$JU$41,A46)</f>
        <v>2</v>
      </c>
      <c r="K46" s="104">
        <f>COUNTIF(总课表!$A$6:$JF$7,A46)</f>
        <v>7</v>
      </c>
      <c r="L46" s="104">
        <f>COUNTIF(总课表!$II$28:$JF$31,A46)</f>
        <v>0</v>
      </c>
      <c r="M46" s="104">
        <f>COUNTIF(总课表!$A$33:$FN$33,A46)</f>
        <v>1</v>
      </c>
      <c r="N46" s="104">
        <f>COUNTIF(总课表!$II$35:$JF$39,A46)</f>
        <v>0</v>
      </c>
      <c r="O46" s="104">
        <f>COUNTIF(总课表!$II$41:$JF$41,A46)</f>
        <v>1</v>
      </c>
      <c r="P46" s="105">
        <f>COUNTIF(总课表!$A$26:$GL$27,A46)</f>
        <v>1</v>
      </c>
      <c r="Q46" s="105">
        <f>COUNTIF(总课表!$A$9:$GL$25,A46)</f>
        <v>16</v>
      </c>
      <c r="R46" s="102">
        <f>COUNTIF(总课表!$A$28:$GL$31,A46)</f>
        <v>0</v>
      </c>
    </row>
    <row r="47" spans="1:19" s="59" customFormat="1" ht="12.75" x14ac:dyDescent="0.3">
      <c r="A47" s="1" t="s">
        <v>28</v>
      </c>
      <c r="B47" s="102"/>
      <c r="C47" s="102"/>
      <c r="D47" s="102"/>
      <c r="E47" s="107">
        <f>COUNTIF(总课表!$A$9:$JY$31,A47)</f>
        <v>31</v>
      </c>
      <c r="F47" s="107">
        <f>COUNTIF(总课表!$A$6:$JU$7,A47)</f>
        <v>8</v>
      </c>
      <c r="G47" s="107">
        <f>COUNTIF(总课表!$A$35:$JU$41,A47)</f>
        <v>14</v>
      </c>
      <c r="H47" s="107">
        <f>COUNTIF(总课表!$A$33:$JU$33,A47)</f>
        <v>4</v>
      </c>
      <c r="I47" s="107">
        <f>COUNTIF(总课表!$A$35:$JU$39,A47)</f>
        <v>10</v>
      </c>
      <c r="J47" s="107">
        <f>COUNTIF(总课表!$A$41:$JU$41,A47)</f>
        <v>4</v>
      </c>
      <c r="K47" s="104">
        <f>COUNTIF(总课表!$A$6:$JF$7,A47)</f>
        <v>7</v>
      </c>
      <c r="L47" s="104">
        <f>COUNTIF(总课表!$II$28:$JF$31,A47)</f>
        <v>1</v>
      </c>
      <c r="M47" s="104">
        <f>COUNTIF(总课表!$A$33:$FN$33,A47)</f>
        <v>3</v>
      </c>
      <c r="N47" s="104">
        <f>COUNTIF(总课表!$II$35:$JF$39,A47)</f>
        <v>0</v>
      </c>
      <c r="O47" s="104">
        <f>COUNTIF(总课表!$II$41:$JF$41,A47)</f>
        <v>0</v>
      </c>
      <c r="P47" s="105">
        <f>COUNTIF(总课表!$A$26:$GL$27,A47)</f>
        <v>2</v>
      </c>
      <c r="Q47" s="105">
        <f>COUNTIF(总课表!$A$9:$GL$25,A47)</f>
        <v>14</v>
      </c>
      <c r="R47" s="102">
        <f>COUNTIF(总课表!$A$28:$GL$31,A47)</f>
        <v>4</v>
      </c>
    </row>
    <row r="48" spans="1:19" s="59" customFormat="1" ht="12.75" x14ac:dyDescent="0.3">
      <c r="A48" s="1" t="s">
        <v>39</v>
      </c>
      <c r="B48" s="102"/>
      <c r="C48" s="102"/>
      <c r="D48" s="102"/>
      <c r="E48" s="107">
        <f>COUNTIF(总课表!$A$9:$JY$31,A48)</f>
        <v>42</v>
      </c>
      <c r="F48" s="107">
        <f>COUNTIF(总课表!$A$6:$JU$7,A48)</f>
        <v>0</v>
      </c>
      <c r="G48" s="107">
        <f>COUNTIF(总课表!$A$35:$JU$41,A48)</f>
        <v>30</v>
      </c>
      <c r="H48" s="107">
        <f>COUNTIF(总课表!$A$33:$JU$33,A48)</f>
        <v>0</v>
      </c>
      <c r="I48" s="107">
        <f>COUNTIF(总课表!$A$35:$JU$39,A48)</f>
        <v>23</v>
      </c>
      <c r="J48" s="107">
        <f>COUNTIF(总课表!$A$41:$JU$41,A48)</f>
        <v>7</v>
      </c>
      <c r="K48" s="104">
        <f>COUNTIF(总课表!$A$6:$JF$7,A48)</f>
        <v>0</v>
      </c>
      <c r="L48" s="104">
        <f>COUNTIF(总课表!$II$28:$JF$31,A48)</f>
        <v>1</v>
      </c>
      <c r="M48" s="104">
        <f>COUNTIF(总课表!$A$33:$FN$33,A48)</f>
        <v>0</v>
      </c>
      <c r="N48" s="104">
        <f>COUNTIF(总课表!$II$35:$JF$39,A48)</f>
        <v>1</v>
      </c>
      <c r="O48" s="104">
        <f>COUNTIF(总课表!$II$41:$JF$41,A48)</f>
        <v>0</v>
      </c>
      <c r="P48" s="105">
        <f>COUNTIF(总课表!$A$26:$GL$27,A48)</f>
        <v>2</v>
      </c>
      <c r="Q48" s="105">
        <f>COUNTIF(总课表!$A$9:$GL$25,A48)</f>
        <v>22</v>
      </c>
      <c r="R48" s="102">
        <f>COUNTIF(总课表!$A$28:$GL$31,A48)</f>
        <v>3</v>
      </c>
    </row>
    <row r="49" spans="1:18" s="59" customFormat="1" ht="12.75" x14ac:dyDescent="0.3">
      <c r="A49" s="1" t="s">
        <v>38</v>
      </c>
      <c r="B49" s="102"/>
      <c r="C49" s="102"/>
      <c r="D49" s="102"/>
      <c r="E49" s="107">
        <f>COUNTIF(总课表!$A$9:$JY$31,A49)</f>
        <v>33</v>
      </c>
      <c r="F49" s="107">
        <f>COUNTIF(总课表!$A$6:$JU$7,A49)</f>
        <v>0</v>
      </c>
      <c r="G49" s="107">
        <f>COUNTIF(总课表!$A$35:$JU$41,A49)</f>
        <v>20</v>
      </c>
      <c r="H49" s="107">
        <f>COUNTIF(总课表!$A$33:$JU$33,A49)</f>
        <v>0</v>
      </c>
      <c r="I49" s="107">
        <f>COUNTIF(总课表!$A$35:$JU$39,A49)</f>
        <v>15</v>
      </c>
      <c r="J49" s="107">
        <f>COUNTIF(总课表!$A$41:$JU$41,A49)</f>
        <v>5</v>
      </c>
      <c r="K49" s="104">
        <f>COUNTIF(总课表!$A$6:$JF$7,A49)</f>
        <v>0</v>
      </c>
      <c r="L49" s="104">
        <f>COUNTIF(总课表!$II$28:$JF$31,A49)</f>
        <v>0</v>
      </c>
      <c r="M49" s="104">
        <f>COUNTIF(总课表!$A$33:$FN$33,A49)</f>
        <v>0</v>
      </c>
      <c r="N49" s="104">
        <f>COUNTIF(总课表!$II$35:$JF$39,A49)</f>
        <v>0</v>
      </c>
      <c r="O49" s="104">
        <f>COUNTIF(总课表!$II$41:$JF$41,A49)</f>
        <v>0</v>
      </c>
      <c r="P49" s="105">
        <f>COUNTIF(总课表!$A$26:$GL$27,A49)</f>
        <v>2</v>
      </c>
      <c r="Q49" s="105">
        <f>COUNTIF(总课表!$A$9:$GL$25,A49)</f>
        <v>17</v>
      </c>
      <c r="R49" s="102">
        <f>COUNTIF(总课表!$A$28:$GL$31,A49)</f>
        <v>3</v>
      </c>
    </row>
    <row r="50" spans="1:18" s="59" customFormat="1" ht="12.75" x14ac:dyDescent="0.3">
      <c r="A50" s="106" t="s">
        <v>41</v>
      </c>
      <c r="B50" s="102"/>
      <c r="C50" s="102"/>
      <c r="D50" s="102"/>
      <c r="E50" s="107">
        <f>COUNTIF(总课表!$A$9:$JY$31,A50)</f>
        <v>26</v>
      </c>
      <c r="F50" s="107">
        <f>COUNTIF(总课表!$A$6:$JU$7,A50)</f>
        <v>2</v>
      </c>
      <c r="G50" s="107">
        <f>COUNTIF(总课表!$A$35:$JU$41,A50)</f>
        <v>10</v>
      </c>
      <c r="H50" s="107">
        <f>COUNTIF(总课表!$A$33:$JU$33,A50)</f>
        <v>0</v>
      </c>
      <c r="I50" s="107">
        <f>COUNTIF(总课表!$A$35:$JU$39,A50)</f>
        <v>8</v>
      </c>
      <c r="J50" s="107">
        <f>COUNTIF(总课表!$A$41:$JU$41,A50)</f>
        <v>2</v>
      </c>
      <c r="K50" s="104">
        <f>COUNTIF(总课表!$A$6:$JF$7,A50)</f>
        <v>2</v>
      </c>
      <c r="L50" s="104">
        <f>COUNTIF(总课表!$II$28:$JF$31,A50)</f>
        <v>0</v>
      </c>
      <c r="M50" s="104">
        <f>COUNTIF(总课表!$A$33:$FN$33,A50)</f>
        <v>0</v>
      </c>
      <c r="N50" s="104">
        <f>COUNTIF(总课表!$II$35:$JF$39,A50)</f>
        <v>1</v>
      </c>
      <c r="O50" s="104">
        <f>COUNTIF(总课表!$II$41:$JF$41,A50)</f>
        <v>0</v>
      </c>
      <c r="P50" s="105">
        <f>COUNTIF(总课表!$A$26:$GL$27,A50)</f>
        <v>1</v>
      </c>
      <c r="Q50" s="105">
        <f>COUNTIF(总课表!$A$9:$GL$25,A50)</f>
        <v>13</v>
      </c>
      <c r="R50" s="102">
        <f>COUNTIF(总课表!$A$28:$GL$31,A50)</f>
        <v>5</v>
      </c>
    </row>
    <row r="51" spans="1:18" s="59" customFormat="1" ht="12.75" x14ac:dyDescent="0.3">
      <c r="A51" s="1" t="s">
        <v>37</v>
      </c>
      <c r="B51" s="102"/>
      <c r="C51" s="102"/>
      <c r="D51" s="102"/>
      <c r="E51" s="107">
        <f>COUNTIF(总课表!$A$9:$JY$31,A51)</f>
        <v>33</v>
      </c>
      <c r="F51" s="107">
        <f>COUNTIF(总课表!$A$6:$JU$7,A51)</f>
        <v>0</v>
      </c>
      <c r="G51" s="107">
        <f>COUNTIF(总课表!$A$35:$JU$41,A51)</f>
        <v>20</v>
      </c>
      <c r="H51" s="107">
        <f>COUNTIF(总课表!$A$33:$JU$33,A51)</f>
        <v>0</v>
      </c>
      <c r="I51" s="107">
        <f>COUNTIF(总课表!$A$35:$JU$39,A51)</f>
        <v>16</v>
      </c>
      <c r="J51" s="107">
        <f>COUNTIF(总课表!$A$41:$JU$41,A51)</f>
        <v>4</v>
      </c>
      <c r="K51" s="104">
        <f>COUNTIF(总课表!$A$6:$JF$7,A51)</f>
        <v>0</v>
      </c>
      <c r="L51" s="104">
        <f>COUNTIF(总课表!$II$28:$JF$31,A51)</f>
        <v>0</v>
      </c>
      <c r="M51" s="104">
        <f>COUNTIF(总课表!$A$33:$FN$33,A51)</f>
        <v>0</v>
      </c>
      <c r="N51" s="104">
        <f>COUNTIF(总课表!$II$35:$JF$39,A51)</f>
        <v>2</v>
      </c>
      <c r="O51" s="104">
        <f>COUNTIF(总课表!$II$41:$JF$41,A51)</f>
        <v>0</v>
      </c>
      <c r="P51" s="105">
        <f>COUNTIF(总课表!$A$26:$GL$27,A51)</f>
        <v>2</v>
      </c>
      <c r="Q51" s="105">
        <f>COUNTIF(总课表!$A$9:$GL$25,A51)</f>
        <v>19</v>
      </c>
      <c r="R51" s="102">
        <f>COUNTIF(总课表!$A$28:$GL$31,A51)</f>
        <v>1</v>
      </c>
    </row>
    <row r="52" spans="1:18" s="59" customFormat="1" ht="12.75" x14ac:dyDescent="0.3">
      <c r="A52" s="1" t="s">
        <v>40</v>
      </c>
      <c r="B52" s="102"/>
      <c r="C52" s="102"/>
      <c r="D52" s="102"/>
      <c r="E52" s="107">
        <f>COUNTIF(总课表!$A$9:$JY$31,A52)</f>
        <v>35</v>
      </c>
      <c r="F52" s="107">
        <f>COUNTIF(总课表!$A$6:$JU$7,A52)</f>
        <v>1</v>
      </c>
      <c r="G52" s="107">
        <f>COUNTIF(总课表!$A$35:$JU$41,A52)</f>
        <v>20</v>
      </c>
      <c r="H52" s="107">
        <f>COUNTIF(总课表!$A$33:$JU$33,A52)</f>
        <v>0</v>
      </c>
      <c r="I52" s="107">
        <f>COUNTIF(总课表!$A$35:$JU$39,A52)</f>
        <v>13</v>
      </c>
      <c r="J52" s="107">
        <f>COUNTIF(总课表!$A$41:$JU$41,A52)</f>
        <v>7</v>
      </c>
      <c r="K52" s="104">
        <f>COUNTIF(总课表!$A$6:$JF$7,A52)</f>
        <v>1</v>
      </c>
      <c r="L52" s="104">
        <f>COUNTIF(总课表!$II$28:$JF$31,A52)</f>
        <v>0</v>
      </c>
      <c r="M52" s="104">
        <f>COUNTIF(总课表!$A$33:$FN$33,A52)</f>
        <v>0</v>
      </c>
      <c r="N52" s="104">
        <f>COUNTIF(总课表!$II$35:$JF$39,A52)</f>
        <v>2</v>
      </c>
      <c r="O52" s="104">
        <f>COUNTIF(总课表!$II$41:$JF$41,A52)</f>
        <v>1</v>
      </c>
      <c r="P52" s="105">
        <f>COUNTIF(总课表!$A$26:$GL$27,A52)</f>
        <v>2</v>
      </c>
      <c r="Q52" s="105">
        <f>COUNTIF(总课表!$A$9:$GL$25,A52)</f>
        <v>17</v>
      </c>
      <c r="R52" s="102">
        <f>COUNTIF(总课表!$A$28:$GL$31,A52)</f>
        <v>5</v>
      </c>
    </row>
    <row r="53" spans="1:18" s="59" customFormat="1" ht="12.75" x14ac:dyDescent="0.3">
      <c r="A53" s="106" t="s">
        <v>35</v>
      </c>
      <c r="B53" s="102"/>
      <c r="C53" s="102"/>
      <c r="D53" s="102"/>
      <c r="E53" s="107">
        <f>COUNTIF(总课表!$A$9:$JY$31,A53)</f>
        <v>35</v>
      </c>
      <c r="F53" s="107">
        <f>COUNTIF(总课表!$A$6:$JU$7,A53)</f>
        <v>0</v>
      </c>
      <c r="G53" s="107">
        <f>COUNTIF(总课表!$A$35:$JU$41,A53)</f>
        <v>16</v>
      </c>
      <c r="H53" s="107">
        <f>COUNTIF(总课表!$A$33:$JU$33,A53)</f>
        <v>0</v>
      </c>
      <c r="I53" s="107">
        <f>COUNTIF(总课表!$A$35:$JU$39,A53)</f>
        <v>13</v>
      </c>
      <c r="J53" s="107">
        <f>COUNTIF(总课表!$A$41:$JU$41,A53)</f>
        <v>3</v>
      </c>
      <c r="K53" s="104">
        <f>COUNTIF(总课表!$A$6:$JF$7,A53)</f>
        <v>0</v>
      </c>
      <c r="L53" s="104">
        <f>COUNTIF(总课表!$II$28:$JF$31,A53)</f>
        <v>1</v>
      </c>
      <c r="M53" s="104">
        <f>COUNTIF(总课表!$A$33:$FN$33,A53)</f>
        <v>0</v>
      </c>
      <c r="N53" s="104">
        <f>COUNTIF(总课表!$II$35:$JF$39,A53)</f>
        <v>1</v>
      </c>
      <c r="O53" s="104">
        <f>COUNTIF(总课表!$II$41:$JF$41,A53)</f>
        <v>1</v>
      </c>
      <c r="P53" s="105">
        <f>COUNTIF(总课表!$A$26:$GL$27,A53)</f>
        <v>2</v>
      </c>
      <c r="Q53" s="105">
        <f>COUNTIF(总课表!$A$9:$GL$25,A53)</f>
        <v>18</v>
      </c>
      <c r="R53" s="102">
        <f>COUNTIF(总课表!$A$28:$GL$31,A53)</f>
        <v>4</v>
      </c>
    </row>
    <row r="54" spans="1:18" s="59" customFormat="1" ht="12.75" x14ac:dyDescent="0.3">
      <c r="A54" s="108" t="s">
        <v>36</v>
      </c>
      <c r="B54" s="102"/>
      <c r="C54" s="102"/>
      <c r="D54" s="102"/>
      <c r="E54" s="107">
        <f>COUNTIF(总课表!$A$9:$JY$31,A54)</f>
        <v>33</v>
      </c>
      <c r="F54" s="107">
        <f>COUNTIF(总课表!$A$6:$JU$7,A54)</f>
        <v>0</v>
      </c>
      <c r="G54" s="107">
        <f>COUNTIF(总课表!$A$35:$JU$41,A54)</f>
        <v>16</v>
      </c>
      <c r="H54" s="107">
        <f>COUNTIF(总课表!$A$33:$JU$33,A54)</f>
        <v>0</v>
      </c>
      <c r="I54" s="107">
        <f>COUNTIF(总课表!$A$35:$JU$39,A54)</f>
        <v>12</v>
      </c>
      <c r="J54" s="107">
        <f>COUNTIF(总课表!$A$41:$JU$41,A54)</f>
        <v>4</v>
      </c>
      <c r="K54" s="104">
        <f>COUNTIF(总课表!$A$6:$JF$7,A54)</f>
        <v>0</v>
      </c>
      <c r="L54" s="104">
        <f>COUNTIF(总课表!$II$28:$JF$31,A54)</f>
        <v>2</v>
      </c>
      <c r="M54" s="104">
        <f>COUNTIF(总课表!$A$33:$FN$33,A54)</f>
        <v>0</v>
      </c>
      <c r="N54" s="104">
        <f>COUNTIF(总课表!$II$35:$JF$39,A54)</f>
        <v>0</v>
      </c>
      <c r="O54" s="104">
        <f>COUNTIF(总课表!$II$41:$JF$41,A54)</f>
        <v>0</v>
      </c>
      <c r="P54" s="105">
        <f>COUNTIF(总课表!$A$26:$GL$27,A54)</f>
        <v>2</v>
      </c>
      <c r="Q54" s="105">
        <f>COUNTIF(总课表!$A$9:$GL$25,A54)</f>
        <v>11</v>
      </c>
      <c r="R54" s="102">
        <f>COUNTIF(总课表!$A$28:$GL$31,A54)</f>
        <v>8</v>
      </c>
    </row>
    <row r="55" spans="1:18" s="59" customFormat="1" ht="12.75" x14ac:dyDescent="0.3">
      <c r="A55" s="106" t="s">
        <v>45</v>
      </c>
      <c r="B55" s="102"/>
      <c r="C55" s="102"/>
      <c r="D55" s="102"/>
      <c r="E55" s="107">
        <f>COUNTIF(总课表!$A$9:$JY$31,A55)</f>
        <v>31</v>
      </c>
      <c r="F55" s="107">
        <f>COUNTIF(总课表!$A$6:$JU$7,A55)</f>
        <v>8</v>
      </c>
      <c r="G55" s="107">
        <f>COUNTIF(总课表!$A$35:$JU$41,A55)</f>
        <v>16</v>
      </c>
      <c r="H55" s="107">
        <f>COUNTIF(总课表!$A$33:$JU$33,A55)</f>
        <v>7</v>
      </c>
      <c r="I55" s="107">
        <f>COUNTIF(总课表!$A$35:$JU$39,A55)</f>
        <v>12</v>
      </c>
      <c r="J55" s="107">
        <f>COUNTIF(总课表!$A$41:$JU$41,A55)</f>
        <v>4</v>
      </c>
      <c r="K55" s="104">
        <f>COUNTIF(总课表!$A$6:$JF$7,A55)</f>
        <v>7</v>
      </c>
      <c r="L55" s="104">
        <f>COUNTIF(总课表!$II$28:$JF$31,A55)</f>
        <v>1</v>
      </c>
      <c r="M55" s="104">
        <f>COUNTIF(总课表!$A$33:$FN$33,A55)</f>
        <v>4</v>
      </c>
      <c r="N55" s="104">
        <f>COUNTIF(总课表!$II$35:$JF$39,A55)</f>
        <v>3</v>
      </c>
      <c r="O55" s="104">
        <f>COUNTIF(总课表!$II$41:$JF$41,A55)</f>
        <v>0</v>
      </c>
      <c r="P55" s="105">
        <f>COUNTIF(总课表!$A$26:$GL$27,A55)</f>
        <v>2</v>
      </c>
      <c r="Q55" s="105">
        <f>COUNTIF(总课表!$A$9:$GL$25,A55)</f>
        <v>17</v>
      </c>
      <c r="R55" s="102">
        <f>COUNTIF(总课表!$A$28:$GL$31,A55)</f>
        <v>3</v>
      </c>
    </row>
    <row r="56" spans="1:18" s="59" customFormat="1" ht="12.75" x14ac:dyDescent="0.3">
      <c r="A56" s="1" t="s">
        <v>48</v>
      </c>
      <c r="B56" s="102"/>
      <c r="C56" s="102"/>
      <c r="D56" s="102"/>
      <c r="E56" s="107">
        <f>COUNTIF(总课表!$A$9:$JY$31,A56)</f>
        <v>29</v>
      </c>
      <c r="F56" s="107">
        <f>COUNTIF(总课表!$A$6:$JU$7,A56)</f>
        <v>8</v>
      </c>
      <c r="G56" s="107">
        <f>COUNTIF(总课表!$A$35:$JU$41,A56)</f>
        <v>16</v>
      </c>
      <c r="H56" s="107">
        <f>COUNTIF(总课表!$A$33:$JU$33,A56)</f>
        <v>7</v>
      </c>
      <c r="I56" s="107">
        <f>COUNTIF(总课表!$A$35:$JU$39,A56)</f>
        <v>12</v>
      </c>
      <c r="J56" s="107">
        <f>COUNTIF(总课表!$A$41:$JU$41,A56)</f>
        <v>4</v>
      </c>
      <c r="K56" s="104">
        <f>COUNTIF(总课表!$A$6:$JF$7,A56)</f>
        <v>8</v>
      </c>
      <c r="L56" s="104">
        <f>COUNTIF(总课表!$II$28:$JF$31,A56)</f>
        <v>0</v>
      </c>
      <c r="M56" s="104">
        <f>COUNTIF(总课表!$A$33:$FN$33,A56)</f>
        <v>4</v>
      </c>
      <c r="N56" s="104">
        <f>COUNTIF(总课表!$II$35:$JF$39,A56)</f>
        <v>2</v>
      </c>
      <c r="O56" s="104">
        <f>COUNTIF(总课表!$II$41:$JF$41,A56)</f>
        <v>0</v>
      </c>
      <c r="P56" s="105">
        <f>COUNTIF(总课表!$A$26:$GL$27,A56)</f>
        <v>2</v>
      </c>
      <c r="Q56" s="105">
        <f>COUNTIF(总课表!$A$9:$GL$25,A56)</f>
        <v>17</v>
      </c>
      <c r="R56" s="102">
        <f>COUNTIF(总课表!$A$28:$GL$31,A56)</f>
        <v>1</v>
      </c>
    </row>
    <row r="57" spans="1:18" s="59" customFormat="1" ht="12.75" x14ac:dyDescent="0.3">
      <c r="A57" s="1" t="s">
        <v>47</v>
      </c>
      <c r="B57" s="102"/>
      <c r="C57" s="102"/>
      <c r="D57" s="102"/>
      <c r="E57" s="107">
        <f>COUNTIF(总课表!$A$9:$JY$31,A57)</f>
        <v>29</v>
      </c>
      <c r="F57" s="107">
        <f>COUNTIF(总课表!$A$6:$JU$7,A57)</f>
        <v>7</v>
      </c>
      <c r="G57" s="107">
        <f>COUNTIF(总课表!$A$35:$JU$41,A57)</f>
        <v>16</v>
      </c>
      <c r="H57" s="107">
        <f>COUNTIF(总课表!$A$33:$JU$33,A57)</f>
        <v>7</v>
      </c>
      <c r="I57" s="107">
        <f>COUNTIF(总课表!$A$35:$JU$39,A57)</f>
        <v>12</v>
      </c>
      <c r="J57" s="107">
        <f>COUNTIF(总课表!$A$41:$JU$41,A57)</f>
        <v>4</v>
      </c>
      <c r="K57" s="104">
        <f>COUNTIF(总课表!$A$6:$JF$7,A57)</f>
        <v>6</v>
      </c>
      <c r="L57" s="104">
        <f>COUNTIF(总课表!$II$28:$JF$31,A57)</f>
        <v>0</v>
      </c>
      <c r="M57" s="104">
        <f>COUNTIF(总课表!$A$33:$FN$33,A57)</f>
        <v>4</v>
      </c>
      <c r="N57" s="104">
        <f>COUNTIF(总课表!$II$35:$JF$39,A57)</f>
        <v>1</v>
      </c>
      <c r="O57" s="104">
        <f>COUNTIF(总课表!$II$41:$JF$41,A57)</f>
        <v>0</v>
      </c>
      <c r="P57" s="105">
        <f>COUNTIF(总课表!$A$26:$GL$27,A57)</f>
        <v>2</v>
      </c>
      <c r="Q57" s="105">
        <f>COUNTIF(总课表!$A$9:$GL$25,A57)</f>
        <v>18</v>
      </c>
      <c r="R57" s="102">
        <f>COUNTIF(总课表!$A$28:$GL$31,A57)</f>
        <v>0</v>
      </c>
    </row>
    <row r="58" spans="1:18" s="59" customFormat="1" ht="12.75" x14ac:dyDescent="0.3">
      <c r="A58" s="1" t="s">
        <v>137</v>
      </c>
      <c r="B58" s="102"/>
      <c r="C58" s="102"/>
      <c r="D58" s="102"/>
      <c r="E58" s="107">
        <f>COUNTIF(总课表!$A$9:$JY$31,A58)</f>
        <v>28</v>
      </c>
      <c r="F58" s="107">
        <f>COUNTIF(总课表!$A$6:$JU$7,A58)</f>
        <v>7</v>
      </c>
      <c r="G58" s="107">
        <f>COUNTIF(总课表!$A$35:$JU$41,A58)</f>
        <v>16</v>
      </c>
      <c r="H58" s="107">
        <f>COUNTIF(总课表!$A$33:$JU$33,A58)</f>
        <v>8</v>
      </c>
      <c r="I58" s="107">
        <f>COUNTIF(总课表!$A$35:$JU$39,A58)</f>
        <v>13</v>
      </c>
      <c r="J58" s="107">
        <f>COUNTIF(总课表!$A$41:$JU$41,A58)</f>
        <v>3</v>
      </c>
      <c r="K58" s="104">
        <f>COUNTIF(总课表!$A$6:$JF$7,A58)</f>
        <v>7</v>
      </c>
      <c r="L58" s="104">
        <f>COUNTIF(总课表!$II$28:$JF$31,A58)</f>
        <v>0</v>
      </c>
      <c r="M58" s="104">
        <f>COUNTIF(总课表!$A$33:$FN$33,A58)</f>
        <v>5</v>
      </c>
      <c r="N58" s="104">
        <f>COUNTIF(总课表!$II$35:$JF$39,A58)</f>
        <v>2</v>
      </c>
      <c r="O58" s="104">
        <f>COUNTIF(总课表!$II$41:$JF$41,A58)</f>
        <v>0</v>
      </c>
      <c r="P58" s="105">
        <f>COUNTIF(总课表!$A$26:$GL$27,A58)</f>
        <v>2</v>
      </c>
      <c r="Q58" s="105">
        <f>COUNTIF(总课表!$A$9:$GL$25,A58)</f>
        <v>16</v>
      </c>
      <c r="R58" s="102">
        <f>COUNTIF(总课表!$A$28:$GL$31,A58)</f>
        <v>2</v>
      </c>
    </row>
    <row r="59" spans="1:18" s="59" customFormat="1" ht="12.75" x14ac:dyDescent="0.3">
      <c r="A59" s="106" t="s">
        <v>46</v>
      </c>
      <c r="B59" s="102"/>
      <c r="C59" s="102"/>
      <c r="D59" s="102"/>
      <c r="E59" s="107">
        <f>COUNTIF(总课表!$A$9:$JY$31,A59)</f>
        <v>31</v>
      </c>
      <c r="F59" s="107">
        <f>COUNTIF(总课表!$A$6:$JU$7,A59)</f>
        <v>8</v>
      </c>
      <c r="G59" s="107">
        <f>COUNTIF(总课表!$A$35:$JU$41,A59)</f>
        <v>16</v>
      </c>
      <c r="H59" s="107">
        <f>COUNTIF(总课表!$A$33:$JU$33,A59)</f>
        <v>7</v>
      </c>
      <c r="I59" s="107">
        <f>COUNTIF(总课表!$A$35:$JU$39,A59)</f>
        <v>12</v>
      </c>
      <c r="J59" s="107">
        <f>COUNTIF(总课表!$A$41:$JU$41,A59)</f>
        <v>4</v>
      </c>
      <c r="K59" s="104">
        <f>COUNTIF(总课表!$A$6:$JF$7,A59)</f>
        <v>8</v>
      </c>
      <c r="L59" s="104">
        <f>COUNTIF(总课表!$II$28:$JF$31,A59)</f>
        <v>0</v>
      </c>
      <c r="M59" s="104">
        <f>COUNTIF(总课表!$A$33:$FN$33,A59)</f>
        <v>4</v>
      </c>
      <c r="N59" s="104">
        <f>COUNTIF(总课表!$II$35:$JF$39,A59)</f>
        <v>2</v>
      </c>
      <c r="O59" s="104">
        <f>COUNTIF(总课表!$II$41:$JF$41,A59)</f>
        <v>0</v>
      </c>
      <c r="P59" s="105">
        <f>COUNTIF(总课表!$A$26:$GL$27,A59)</f>
        <v>2</v>
      </c>
      <c r="Q59" s="105">
        <f>COUNTIF(总课表!$A$9:$GL$25,A59)</f>
        <v>19</v>
      </c>
      <c r="R59" s="102">
        <f>COUNTIF(总课表!$A$28:$GL$31,A59)</f>
        <v>1</v>
      </c>
    </row>
    <row r="60" spans="1:18" s="59" customFormat="1" ht="12.75" x14ac:dyDescent="0.3">
      <c r="A60" s="1" t="s">
        <v>44</v>
      </c>
      <c r="B60" s="102"/>
      <c r="C60" s="102"/>
      <c r="D60" s="102"/>
      <c r="E60" s="107">
        <f>COUNTIF(总课表!$A$9:$JY$31,A60)</f>
        <v>43</v>
      </c>
      <c r="F60" s="107">
        <f>COUNTIF(总课表!$A$6:$JU$7,A60)</f>
        <v>10</v>
      </c>
      <c r="G60" s="107">
        <f>COUNTIF(总课表!$A$35:$JU$41,A60)</f>
        <v>25</v>
      </c>
      <c r="H60" s="107">
        <f>COUNTIF(总课表!$A$33:$JU$33,A60)</f>
        <v>11</v>
      </c>
      <c r="I60" s="107">
        <f>COUNTIF(总课表!$A$35:$JU$39,A60)</f>
        <v>18</v>
      </c>
      <c r="J60" s="107">
        <f>COUNTIF(总课表!$A$41:$JU$41,A60)</f>
        <v>7</v>
      </c>
      <c r="K60" s="104">
        <f>COUNTIF(总课表!$A$6:$JF$7,A60)</f>
        <v>9</v>
      </c>
      <c r="L60" s="104">
        <f>COUNTIF(总课表!$II$28:$JF$31,A60)</f>
        <v>1</v>
      </c>
      <c r="M60" s="104">
        <f>COUNTIF(总课表!$A$33:$FN$33,A60)</f>
        <v>7</v>
      </c>
      <c r="N60" s="104">
        <f>COUNTIF(总课表!$II$35:$JF$39,A60)</f>
        <v>1</v>
      </c>
      <c r="O60" s="104">
        <f>COUNTIF(总课表!$II$41:$JF$41,A60)</f>
        <v>1</v>
      </c>
      <c r="P60" s="105">
        <f>COUNTIF(总课表!$A$26:$GL$27,A60)</f>
        <v>2</v>
      </c>
      <c r="Q60" s="105">
        <f>COUNTIF(总课表!$A$9:$GL$25,A60)</f>
        <v>23</v>
      </c>
      <c r="R60" s="102">
        <f>COUNTIF(总课表!$A$28:$GL$31,A60)</f>
        <v>3</v>
      </c>
    </row>
    <row r="61" spans="1:18" s="59" customFormat="1" ht="12.75" x14ac:dyDescent="0.3">
      <c r="A61" s="106" t="s">
        <v>94</v>
      </c>
      <c r="B61" s="102"/>
      <c r="C61" s="102"/>
      <c r="D61" s="102"/>
      <c r="E61" s="107">
        <f>COUNTIF(总课表!$A$9:$JY$31,A61)</f>
        <v>30</v>
      </c>
      <c r="F61" s="107">
        <f>COUNTIF(总课表!$A$6:$JU$7,A61)</f>
        <v>7</v>
      </c>
      <c r="G61" s="107">
        <f>COUNTIF(总课表!$A$35:$JU$41,A61)</f>
        <v>16</v>
      </c>
      <c r="H61" s="107">
        <f>COUNTIF(总课表!$A$33:$JU$33,A61)</f>
        <v>8</v>
      </c>
      <c r="I61" s="107">
        <f>COUNTIF(总课表!$A$35:$JU$39,A61)</f>
        <v>13</v>
      </c>
      <c r="J61" s="107">
        <f>COUNTIF(总课表!$A$41:$JU$41,A61)</f>
        <v>3</v>
      </c>
      <c r="K61" s="104">
        <f>COUNTIF(总课表!$A$6:$JF$7,A61)</f>
        <v>7</v>
      </c>
      <c r="L61" s="104">
        <f>COUNTIF(总课表!$II$28:$JF$31,A61)</f>
        <v>0</v>
      </c>
      <c r="M61" s="104">
        <f>COUNTIF(总课表!$A$33:$FN$33,A61)</f>
        <v>5</v>
      </c>
      <c r="N61" s="104">
        <f>COUNTIF(总课表!$II$35:$JF$39,A61)</f>
        <v>2</v>
      </c>
      <c r="O61" s="104">
        <f>COUNTIF(总课表!$II$41:$JF$41,A61)</f>
        <v>0</v>
      </c>
      <c r="P61" s="105">
        <f>COUNTIF(总课表!$A$26:$GL$27,A61)</f>
        <v>2</v>
      </c>
      <c r="Q61" s="105">
        <f>COUNTIF(总课表!$A$9:$GL$25,A61)</f>
        <v>18</v>
      </c>
      <c r="R61" s="102">
        <f>COUNTIF(总课表!$A$28:$GL$31,A61)</f>
        <v>2</v>
      </c>
    </row>
    <row r="62" spans="1:18" s="59" customFormat="1" ht="12.75" x14ac:dyDescent="0.3">
      <c r="A62" s="1" t="s">
        <v>57</v>
      </c>
      <c r="B62" s="102"/>
      <c r="C62" s="102"/>
      <c r="D62" s="102"/>
      <c r="E62" s="107">
        <f>COUNTIF(总课表!$A$9:$JY$31,A62)</f>
        <v>48</v>
      </c>
      <c r="F62" s="107">
        <f>COUNTIF(总课表!$A$6:$JU$7,A62)</f>
        <v>0</v>
      </c>
      <c r="G62" s="107">
        <f>COUNTIF(总课表!$A$35:$JU$41,A62)</f>
        <v>21</v>
      </c>
      <c r="H62" s="107">
        <f>COUNTIF(总课表!$A$33:$JU$33,A62)</f>
        <v>6</v>
      </c>
      <c r="I62" s="107">
        <f>COUNTIF(总课表!$A$35:$JU$39,A62)</f>
        <v>14</v>
      </c>
      <c r="J62" s="107">
        <f>COUNTIF(总课表!$A$41:$JU$41,A62)</f>
        <v>7</v>
      </c>
      <c r="K62" s="104">
        <f>COUNTIF(总课表!$A$6:$JF$7,A62)</f>
        <v>0</v>
      </c>
      <c r="L62" s="104">
        <f>COUNTIF(总课表!$II$28:$JF$31,A62)</f>
        <v>0</v>
      </c>
      <c r="M62" s="104">
        <f>COUNTIF(总课表!$A$33:$FN$33,A62)</f>
        <v>3</v>
      </c>
      <c r="N62" s="104">
        <f>COUNTIF(总课表!$II$35:$JF$39,A62)</f>
        <v>2</v>
      </c>
      <c r="O62" s="104">
        <f>COUNTIF(总课表!$II$41:$JF$41,A62)</f>
        <v>1</v>
      </c>
      <c r="P62" s="105">
        <f>COUNTIF(总课表!$A$26:$GL$27,A62)</f>
        <v>1</v>
      </c>
      <c r="Q62" s="105">
        <f>COUNTIF(总课表!$A$9:$GL$25,A62)</f>
        <v>29</v>
      </c>
      <c r="R62" s="102">
        <f>COUNTIF(总课表!$A$28:$GL$31,A62)</f>
        <v>1</v>
      </c>
    </row>
    <row r="63" spans="1:18" s="59" customFormat="1" ht="12.75" x14ac:dyDescent="0.3">
      <c r="A63" s="106" t="s">
        <v>55</v>
      </c>
      <c r="B63" s="102"/>
      <c r="C63" s="102"/>
      <c r="D63" s="102"/>
      <c r="E63" s="107">
        <f>COUNTIF(总课表!$A$9:$JY$31,A63)</f>
        <v>33</v>
      </c>
      <c r="F63" s="107">
        <f>COUNTIF(总课表!$A$6:$JU$7,A63)</f>
        <v>1</v>
      </c>
      <c r="G63" s="107">
        <f>COUNTIF(总课表!$A$35:$JU$41,A63)</f>
        <v>14</v>
      </c>
      <c r="H63" s="107">
        <f>COUNTIF(总课表!$A$33:$JU$33,A63)</f>
        <v>2</v>
      </c>
      <c r="I63" s="107">
        <f>COUNTIF(总课表!$A$35:$JU$39,A63)</f>
        <v>11</v>
      </c>
      <c r="J63" s="107">
        <f>COUNTIF(总课表!$A$41:$JU$41,A63)</f>
        <v>3</v>
      </c>
      <c r="K63" s="104">
        <f>COUNTIF(总课表!$A$6:$JF$7,A63)</f>
        <v>1</v>
      </c>
      <c r="L63" s="104">
        <f>COUNTIF(总课表!$II$28:$JF$31,A63)</f>
        <v>1</v>
      </c>
      <c r="M63" s="104">
        <f>COUNTIF(总课表!$A$33:$FN$33,A63)</f>
        <v>1</v>
      </c>
      <c r="N63" s="104">
        <f>COUNTIF(总课表!$II$35:$JF$39,A63)</f>
        <v>1</v>
      </c>
      <c r="O63" s="104">
        <f>COUNTIF(总课表!$II$41:$JF$41,A63)</f>
        <v>0</v>
      </c>
      <c r="P63" s="105">
        <f>COUNTIF(总课表!$A$26:$GL$27,A63)</f>
        <v>1</v>
      </c>
      <c r="Q63" s="105">
        <f>COUNTIF(总课表!$A$9:$GL$25,A63)</f>
        <v>18</v>
      </c>
      <c r="R63" s="102">
        <f>COUNTIF(总课表!$A$28:$GL$31,A63)</f>
        <v>3</v>
      </c>
    </row>
    <row r="64" spans="1:18" s="59" customFormat="1" ht="12.75" x14ac:dyDescent="0.3">
      <c r="A64" s="1" t="s">
        <v>56</v>
      </c>
      <c r="B64" s="102"/>
      <c r="C64" s="102"/>
      <c r="D64" s="102"/>
      <c r="E64" s="107">
        <f>COUNTIF(总课表!$A$9:$JY$31,A64)</f>
        <v>12</v>
      </c>
      <c r="F64" s="107">
        <f>COUNTIF(总课表!$A$6:$JU$7,A64)</f>
        <v>0</v>
      </c>
      <c r="G64" s="107">
        <f>COUNTIF(总课表!$A$35:$JU$41,A64)</f>
        <v>6</v>
      </c>
      <c r="H64" s="107">
        <f>COUNTIF(总课表!$A$33:$JU$33,A64)</f>
        <v>0</v>
      </c>
      <c r="I64" s="107">
        <f>COUNTIF(总课表!$A$35:$JU$39,A64)</f>
        <v>2</v>
      </c>
      <c r="J64" s="107">
        <f>COUNTIF(总课表!$A$41:$JU$41,A64)</f>
        <v>4</v>
      </c>
      <c r="K64" s="104">
        <f>COUNTIF(总课表!$A$6:$JF$7,A64)</f>
        <v>0</v>
      </c>
      <c r="L64" s="104">
        <f>COUNTIF(总课表!$II$28:$JF$31,A64)</f>
        <v>1</v>
      </c>
      <c r="M64" s="104">
        <f>COUNTIF(总课表!$A$33:$FN$33,A64)</f>
        <v>0</v>
      </c>
      <c r="N64" s="104">
        <f>COUNTIF(总课表!$II$35:$JF$39,A64)</f>
        <v>0</v>
      </c>
      <c r="O64" s="104">
        <f>COUNTIF(总课表!$II$41:$JF$41,A64)</f>
        <v>1</v>
      </c>
      <c r="P64" s="105">
        <f>COUNTIF(总课表!$A$26:$GL$27,A64)</f>
        <v>0</v>
      </c>
      <c r="Q64" s="105">
        <f>COUNTIF(总课表!$A$9:$GL$25,A64)</f>
        <v>4</v>
      </c>
      <c r="R64" s="102">
        <f>COUNTIF(总课表!$A$28:$GL$31,A64)</f>
        <v>2</v>
      </c>
    </row>
    <row r="65" spans="1:18" s="59" customFormat="1" ht="12.75" x14ac:dyDescent="0.3">
      <c r="A65" s="109" t="s">
        <v>59</v>
      </c>
      <c r="B65" s="102"/>
      <c r="C65" s="102"/>
      <c r="D65" s="102"/>
      <c r="E65" s="107">
        <f>COUNTIF(总课表!$A$9:$JY$31,A65)</f>
        <v>33</v>
      </c>
      <c r="F65" s="107">
        <f>COUNTIF(总课表!$A$6:$JU$7,A65)</f>
        <v>0</v>
      </c>
      <c r="G65" s="107">
        <f>COUNTIF(总课表!$A$35:$JU$41,A65)</f>
        <v>16</v>
      </c>
      <c r="H65" s="107">
        <f>COUNTIF(总课表!$A$33:$JU$33,A65)</f>
        <v>2</v>
      </c>
      <c r="I65" s="107">
        <f>COUNTIF(总课表!$A$35:$JU$39,A65)</f>
        <v>13</v>
      </c>
      <c r="J65" s="107">
        <f>COUNTIF(总课表!$A$41:$JU$41,A65)</f>
        <v>3</v>
      </c>
      <c r="K65" s="104">
        <f>COUNTIF(总课表!$A$6:$JF$7,A65)</f>
        <v>0</v>
      </c>
      <c r="L65" s="104">
        <f>COUNTIF(总课表!$II$28:$JF$31,A65)</f>
        <v>1</v>
      </c>
      <c r="M65" s="104">
        <f>COUNTIF(总课表!$A$33:$FN$33,A65)</f>
        <v>1</v>
      </c>
      <c r="N65" s="104">
        <f>COUNTIF(总课表!$II$35:$JF$39,A65)</f>
        <v>0</v>
      </c>
      <c r="O65" s="104">
        <f>COUNTIF(总课表!$II$41:$JF$41,A65)</f>
        <v>0</v>
      </c>
      <c r="P65" s="105">
        <f>COUNTIF(总课表!$A$26:$GL$27,A65)</f>
        <v>1</v>
      </c>
      <c r="Q65" s="105">
        <f>COUNTIF(总课表!$A$9:$GL$25,A65)</f>
        <v>12</v>
      </c>
      <c r="R65" s="102">
        <f>COUNTIF(总课表!$A$28:$GL$31,A65)</f>
        <v>8</v>
      </c>
    </row>
    <row r="66" spans="1:18" s="59" customFormat="1" ht="12.75" x14ac:dyDescent="0.3">
      <c r="A66" s="1" t="s">
        <v>60</v>
      </c>
      <c r="B66" s="102"/>
      <c r="C66" s="102"/>
      <c r="D66" s="102"/>
      <c r="E66" s="107">
        <f>COUNTIF(总课表!$A$9:$JY$31,A66)</f>
        <v>28</v>
      </c>
      <c r="F66" s="107">
        <f>COUNTIF(总课表!$A$6:$JU$7,A66)</f>
        <v>0</v>
      </c>
      <c r="G66" s="107">
        <f>COUNTIF(总课表!$A$35:$JU$41,A66)</f>
        <v>15</v>
      </c>
      <c r="H66" s="107">
        <f>COUNTIF(总课表!$A$33:$JU$33,A66)</f>
        <v>2</v>
      </c>
      <c r="I66" s="107">
        <f>COUNTIF(总课表!$A$35:$JU$39,A66)</f>
        <v>13</v>
      </c>
      <c r="J66" s="107">
        <f>COUNTIF(总课表!$A$41:$JU$41,A66)</f>
        <v>2</v>
      </c>
      <c r="K66" s="104">
        <f>COUNTIF(总课表!$A$6:$JF$7,A66)</f>
        <v>0</v>
      </c>
      <c r="L66" s="104">
        <f>COUNTIF(总课表!$II$28:$JF$31,A66)</f>
        <v>0</v>
      </c>
      <c r="M66" s="104">
        <f>COUNTIF(总课表!$A$33:$FN$33,A66)</f>
        <v>1</v>
      </c>
      <c r="N66" s="104">
        <f>COUNTIF(总课表!$II$35:$JF$39,A66)</f>
        <v>0</v>
      </c>
      <c r="O66" s="104">
        <f>COUNTIF(总课表!$II$41:$JF$41,A66)</f>
        <v>0</v>
      </c>
      <c r="P66" s="105">
        <f>COUNTIF(总课表!$A$26:$GL$27,A66)</f>
        <v>1</v>
      </c>
      <c r="Q66" s="105">
        <f>COUNTIF(总课表!$A$9:$GL$25,A66)</f>
        <v>13</v>
      </c>
      <c r="R66" s="102">
        <f>COUNTIF(总课表!$A$28:$GL$31,A66)</f>
        <v>4</v>
      </c>
    </row>
    <row r="67" spans="1:18" s="59" customFormat="1" ht="12.75" x14ac:dyDescent="0.3">
      <c r="A67" s="106" t="s">
        <v>61</v>
      </c>
      <c r="B67" s="102"/>
      <c r="C67" s="102"/>
      <c r="D67" s="102"/>
      <c r="E67" s="107">
        <f>COUNTIF(总课表!$A$9:$JY$31,A67)</f>
        <v>34</v>
      </c>
      <c r="F67" s="107">
        <f>COUNTIF(总课表!$A$6:$JU$7,A67)</f>
        <v>1</v>
      </c>
      <c r="G67" s="107">
        <f>COUNTIF(总课表!$A$35:$JU$41,A67)</f>
        <v>14</v>
      </c>
      <c r="H67" s="107">
        <f>COUNTIF(总课表!$A$33:$JU$33,A67)</f>
        <v>4</v>
      </c>
      <c r="I67" s="107">
        <f>COUNTIF(总课表!$A$35:$JU$39,A67)</f>
        <v>11</v>
      </c>
      <c r="J67" s="107">
        <f>COUNTIF(总课表!$A$41:$JU$41,A67)</f>
        <v>3</v>
      </c>
      <c r="K67" s="104">
        <f>COUNTIF(总课表!$A$6:$JF$7,A67)</f>
        <v>1</v>
      </c>
      <c r="L67" s="104">
        <f>COUNTIF(总课表!$II$28:$JF$31,A67)</f>
        <v>0</v>
      </c>
      <c r="M67" s="104">
        <f>COUNTIF(总课表!$A$33:$FN$33,A67)</f>
        <v>2</v>
      </c>
      <c r="N67" s="104">
        <f>COUNTIF(总课表!$II$35:$JF$39,A67)</f>
        <v>0</v>
      </c>
      <c r="O67" s="104">
        <f>COUNTIF(总课表!$II$41:$JF$41,A67)</f>
        <v>0</v>
      </c>
      <c r="P67" s="105">
        <f>COUNTIF(总课表!$A$26:$GL$27,A67)</f>
        <v>1</v>
      </c>
      <c r="Q67" s="105">
        <f>COUNTIF(总课表!$A$9:$GL$25,A67)</f>
        <v>17</v>
      </c>
      <c r="R67" s="102">
        <f>COUNTIF(总课表!$A$28:$GL$31,A67)</f>
        <v>5</v>
      </c>
    </row>
    <row r="68" spans="1:18" s="59" customFormat="1" ht="12.75" x14ac:dyDescent="0.3">
      <c r="A68" s="106" t="s">
        <v>65</v>
      </c>
      <c r="B68" s="102"/>
      <c r="C68" s="102"/>
      <c r="D68" s="102"/>
      <c r="E68" s="107">
        <f>COUNTIF(总课表!$A$9:$JY$31,A68)</f>
        <v>34</v>
      </c>
      <c r="F68" s="107">
        <f>COUNTIF(总课表!$A$6:$JU$7,A68)</f>
        <v>4</v>
      </c>
      <c r="G68" s="107">
        <f>COUNTIF(总课表!$A$35:$JU$41,A68)</f>
        <v>14</v>
      </c>
      <c r="H68" s="107">
        <f>COUNTIF(总课表!$A$33:$JU$33,A68)</f>
        <v>4</v>
      </c>
      <c r="I68" s="107">
        <f>COUNTIF(总课表!$A$35:$JU$39,A68)</f>
        <v>10</v>
      </c>
      <c r="J68" s="107">
        <f>COUNTIF(总课表!$A$41:$JU$41,A68)</f>
        <v>4</v>
      </c>
      <c r="K68" s="104">
        <f>COUNTIF(总课表!$A$6:$JF$7,A68)</f>
        <v>4</v>
      </c>
      <c r="L68" s="104">
        <f>COUNTIF(总课表!$II$28:$JF$31,A68)</f>
        <v>0</v>
      </c>
      <c r="M68" s="104">
        <f>COUNTIF(总课表!$A$33:$FN$33,A68)</f>
        <v>2</v>
      </c>
      <c r="N68" s="104">
        <f>COUNTIF(总课表!$II$35:$JF$39,A68)</f>
        <v>1</v>
      </c>
      <c r="O68" s="104">
        <f>COUNTIF(总课表!$II$41:$JF$41,A68)</f>
        <v>0</v>
      </c>
      <c r="P68" s="105">
        <f>COUNTIF(总课表!$A$26:$GL$27,A68)</f>
        <v>1</v>
      </c>
      <c r="Q68" s="105">
        <f>COUNTIF(总课表!$A$9:$GL$25,A68)</f>
        <v>21</v>
      </c>
      <c r="R68" s="102">
        <f>COUNTIF(总课表!$A$28:$GL$31,A68)</f>
        <v>1</v>
      </c>
    </row>
    <row r="69" spans="1:18" s="59" customFormat="1" ht="12.75" x14ac:dyDescent="0.3">
      <c r="A69" s="1" t="s">
        <v>64</v>
      </c>
      <c r="B69" s="102"/>
      <c r="C69" s="102"/>
      <c r="D69" s="102"/>
      <c r="E69" s="107">
        <f>COUNTIF(总课表!$A$9:$JY$31,A69)</f>
        <v>32</v>
      </c>
      <c r="F69" s="107">
        <f>COUNTIF(总课表!$A$6:$JU$7,A69)</f>
        <v>4</v>
      </c>
      <c r="G69" s="107">
        <f>COUNTIF(总课表!$A$35:$JU$41,A69)</f>
        <v>14</v>
      </c>
      <c r="H69" s="107">
        <f>COUNTIF(总课表!$A$33:$JU$33,A69)</f>
        <v>4</v>
      </c>
      <c r="I69" s="107">
        <f>COUNTIF(总课表!$A$35:$JU$39,A69)</f>
        <v>11</v>
      </c>
      <c r="J69" s="107">
        <f>COUNTIF(总课表!$A$41:$JU$41,A69)</f>
        <v>3</v>
      </c>
      <c r="K69" s="104">
        <f>COUNTIF(总课表!$A$6:$JF$7,A69)</f>
        <v>4</v>
      </c>
      <c r="L69" s="104">
        <f>COUNTIF(总课表!$II$28:$JF$31,A69)</f>
        <v>0</v>
      </c>
      <c r="M69" s="104">
        <f>COUNTIF(总课表!$A$33:$FN$33,A69)</f>
        <v>1</v>
      </c>
      <c r="N69" s="104">
        <f>COUNTIF(总课表!$II$35:$JF$39,A69)</f>
        <v>2</v>
      </c>
      <c r="O69" s="104">
        <f>COUNTIF(总课表!$II$41:$JF$41,A69)</f>
        <v>1</v>
      </c>
      <c r="P69" s="105">
        <f>COUNTIF(总课表!$A$26:$GL$27,A69)</f>
        <v>1</v>
      </c>
      <c r="Q69" s="105">
        <f>COUNTIF(总课表!$A$9:$GL$25,A69)</f>
        <v>17</v>
      </c>
      <c r="R69" s="102">
        <f>COUNTIF(总课表!$A$28:$GL$31,A69)</f>
        <v>3</v>
      </c>
    </row>
    <row r="70" spans="1:18" s="59" customFormat="1" ht="13.05" customHeight="1" x14ac:dyDescent="0.3">
      <c r="A70" s="110" t="s">
        <v>63</v>
      </c>
      <c r="B70" s="102"/>
      <c r="C70" s="102"/>
      <c r="D70" s="102"/>
      <c r="E70" s="107">
        <f>COUNTIF(总课表!$A$9:$JY$31,A70)</f>
        <v>30</v>
      </c>
      <c r="F70" s="107">
        <f>COUNTIF(总课表!$A$6:$JU$7,A70)</f>
        <v>4</v>
      </c>
      <c r="G70" s="107">
        <f>COUNTIF(总课表!$A$35:$JU$41,A70)</f>
        <v>17</v>
      </c>
      <c r="H70" s="107">
        <f>COUNTIF(总课表!$A$33:$JU$33,A70)</f>
        <v>8</v>
      </c>
      <c r="I70" s="107">
        <f>COUNTIF(总课表!$A$35:$JU$39,A70)</f>
        <v>13</v>
      </c>
      <c r="J70" s="107">
        <f>COUNTIF(总课表!$A$41:$JU$41,A70)</f>
        <v>4</v>
      </c>
      <c r="K70" s="104">
        <f>COUNTIF(总课表!$A$6:$JF$7,A70)</f>
        <v>4</v>
      </c>
      <c r="L70" s="104">
        <f>COUNTIF(总课表!$II$28:$JF$31,A70)</f>
        <v>0</v>
      </c>
      <c r="M70" s="104">
        <f>COUNTIF(总课表!$A$33:$FN$33,A70)</f>
        <v>4</v>
      </c>
      <c r="N70" s="104">
        <f>COUNTIF(总课表!$II$35:$JF$39,A70)</f>
        <v>0</v>
      </c>
      <c r="O70" s="104">
        <f>COUNTIF(总课表!$II$41:$JF$41,A70)</f>
        <v>0</v>
      </c>
      <c r="P70" s="105">
        <f>COUNTIF(总课表!$A$26:$GL$27,A70)</f>
        <v>0</v>
      </c>
      <c r="Q70" s="105">
        <f>COUNTIF(总课表!$A$9:$GL$25,A70)</f>
        <v>19</v>
      </c>
      <c r="R70" s="102">
        <f>COUNTIF(总课表!$A$28:$GL$31,A70)</f>
        <v>3</v>
      </c>
    </row>
    <row r="71" spans="1:18" s="59" customFormat="1" ht="12.75" x14ac:dyDescent="0.3">
      <c r="A71" s="1" t="s">
        <v>69</v>
      </c>
      <c r="B71" s="102"/>
      <c r="C71" s="102"/>
      <c r="D71" s="102"/>
      <c r="E71" s="107">
        <f>COUNTIF(总课表!$A$9:$JY$31,A71)</f>
        <v>39</v>
      </c>
      <c r="F71" s="107">
        <f>COUNTIF(总课表!$A$6:$JU$7,A71)</f>
        <v>4</v>
      </c>
      <c r="G71" s="107">
        <f>COUNTIF(总课表!$A$35:$JU$41,A71)</f>
        <v>14</v>
      </c>
      <c r="H71" s="107">
        <f>COUNTIF(总课表!$A$33:$JU$33,A71)</f>
        <v>4</v>
      </c>
      <c r="I71" s="107">
        <f>COUNTIF(总课表!$A$35:$JU$39,A71)</f>
        <v>12</v>
      </c>
      <c r="J71" s="107">
        <f>COUNTIF(总课表!$A$41:$JU$41,A71)</f>
        <v>2</v>
      </c>
      <c r="K71" s="104">
        <f>COUNTIF(总课表!$A$6:$JF$7,A71)</f>
        <v>3</v>
      </c>
      <c r="L71" s="104">
        <f>COUNTIF(总课表!$II$28:$JF$31,A71)</f>
        <v>1</v>
      </c>
      <c r="M71" s="104">
        <f>COUNTIF(总课表!$A$33:$FN$33,A71)</f>
        <v>3</v>
      </c>
      <c r="N71" s="104">
        <f>COUNTIF(总课表!$II$35:$JF$39,A71)</f>
        <v>0</v>
      </c>
      <c r="O71" s="104">
        <f>COUNTIF(总课表!$II$41:$JF$41,A71)</f>
        <v>0</v>
      </c>
      <c r="P71" s="105">
        <f>COUNTIF(总课表!$A$26:$GL$27,A71)</f>
        <v>0</v>
      </c>
      <c r="Q71" s="105">
        <f>COUNTIF(总课表!$A$9:$GL$25,A71)</f>
        <v>19</v>
      </c>
      <c r="R71" s="102">
        <f>COUNTIF(总课表!$A$28:$GL$31,A71)</f>
        <v>6</v>
      </c>
    </row>
    <row r="72" spans="1:18" s="59" customFormat="1" ht="12.75" x14ac:dyDescent="0.3">
      <c r="A72" s="1" t="s">
        <v>70</v>
      </c>
      <c r="B72" s="102"/>
      <c r="C72" s="102"/>
      <c r="D72" s="102"/>
      <c r="E72" s="107">
        <f>COUNTIF(总课表!$A$9:$JY$31,A72)</f>
        <v>32</v>
      </c>
      <c r="F72" s="107">
        <f>COUNTIF(总课表!$A$6:$JU$7,A72)</f>
        <v>0</v>
      </c>
      <c r="G72" s="107">
        <f>COUNTIF(总课表!$A$35:$JU$41,A72)</f>
        <v>14</v>
      </c>
      <c r="H72" s="107">
        <f>COUNTIF(总课表!$A$33:$JU$33,A72)</f>
        <v>4</v>
      </c>
      <c r="I72" s="107">
        <f>COUNTIF(总课表!$A$35:$JU$39,A72)</f>
        <v>10</v>
      </c>
      <c r="J72" s="107">
        <f>COUNTIF(总课表!$A$41:$JU$41,A72)</f>
        <v>4</v>
      </c>
      <c r="K72" s="104">
        <f>COUNTIF(总课表!$A$6:$JF$7,A72)</f>
        <v>0</v>
      </c>
      <c r="L72" s="104">
        <f>COUNTIF(总课表!$II$28:$JF$31,A72)</f>
        <v>1</v>
      </c>
      <c r="M72" s="104">
        <f>COUNTIF(总课表!$A$33:$FN$33,A72)</f>
        <v>2</v>
      </c>
      <c r="N72" s="104">
        <f>COUNTIF(总课表!$II$35:$JF$39,A72)</f>
        <v>0</v>
      </c>
      <c r="O72" s="104">
        <f>COUNTIF(总课表!$II$41:$JF$41,A72)</f>
        <v>0</v>
      </c>
      <c r="P72" s="105">
        <f>COUNTIF(总课表!$A$26:$GL$27,A72)</f>
        <v>1</v>
      </c>
      <c r="Q72" s="105">
        <f>COUNTIF(总课表!$A$9:$GL$25,A72)</f>
        <v>17</v>
      </c>
      <c r="R72" s="102">
        <f>COUNTIF(总课表!$A$28:$GL$31,A72)</f>
        <v>2</v>
      </c>
    </row>
    <row r="73" spans="1:18" s="59" customFormat="1" ht="12.75" x14ac:dyDescent="0.3">
      <c r="A73" s="106" t="s">
        <v>67</v>
      </c>
      <c r="B73" s="102"/>
      <c r="C73" s="102"/>
      <c r="D73" s="102"/>
      <c r="E73" s="107">
        <f>COUNTIF(总课表!$A$9:$JY$31,A73)</f>
        <v>25</v>
      </c>
      <c r="F73" s="107">
        <f>COUNTIF(总课表!$A$6:$JU$7,A73)</f>
        <v>0</v>
      </c>
      <c r="G73" s="107">
        <f>COUNTIF(总课表!$A$35:$JU$41,A73)</f>
        <v>14</v>
      </c>
      <c r="H73" s="107">
        <f>COUNTIF(总课表!$A$33:$JU$33,A73)</f>
        <v>6</v>
      </c>
      <c r="I73" s="107">
        <f>COUNTIF(总课表!$A$35:$JU$39,A73)</f>
        <v>11</v>
      </c>
      <c r="J73" s="107">
        <f>COUNTIF(总课表!$A$41:$JU$41,A73)</f>
        <v>3</v>
      </c>
      <c r="K73" s="104">
        <f>COUNTIF(总课表!$A$6:$JF$7,A73)</f>
        <v>0</v>
      </c>
      <c r="L73" s="104">
        <f>COUNTIF(总课表!$II$28:$JF$31,A73)</f>
        <v>1</v>
      </c>
      <c r="M73" s="104">
        <f>COUNTIF(总课表!$A$33:$FN$33,A73)</f>
        <v>3</v>
      </c>
      <c r="N73" s="104">
        <f>COUNTIF(总课表!$II$35:$JF$39,A73)</f>
        <v>3</v>
      </c>
      <c r="O73" s="104">
        <f>COUNTIF(总课表!$II$41:$JF$41,A73)</f>
        <v>1</v>
      </c>
      <c r="P73" s="105">
        <f>COUNTIF(总课表!$A$26:$GL$27,A73)</f>
        <v>0</v>
      </c>
      <c r="Q73" s="105">
        <f>COUNTIF(总课表!$A$9:$GL$25,A73)</f>
        <v>15</v>
      </c>
      <c r="R73" s="102">
        <f>COUNTIF(总课表!$A$28:$GL$31,A73)</f>
        <v>2</v>
      </c>
    </row>
    <row r="74" spans="1:18" s="59" customFormat="1" ht="12.75" x14ac:dyDescent="0.3">
      <c r="A74" s="1" t="s">
        <v>68</v>
      </c>
      <c r="B74" s="102"/>
      <c r="C74" s="102"/>
      <c r="D74" s="102"/>
      <c r="E74" s="107">
        <f>COUNTIF(总课表!$A$9:$JY$31,A74)</f>
        <v>38</v>
      </c>
      <c r="F74" s="107">
        <f>COUNTIF(总课表!$A$6:$JU$7,A74)</f>
        <v>4</v>
      </c>
      <c r="G74" s="107">
        <f>COUNTIF(总课表!$A$35:$JU$41,A74)</f>
        <v>19</v>
      </c>
      <c r="H74" s="107">
        <f>COUNTIF(总课表!$A$33:$JU$33,A74)</f>
        <v>6</v>
      </c>
      <c r="I74" s="107">
        <f>COUNTIF(总课表!$A$35:$JU$39,A74)</f>
        <v>13</v>
      </c>
      <c r="J74" s="107">
        <f>COUNTIF(总课表!$A$41:$JU$41,A74)</f>
        <v>6</v>
      </c>
      <c r="K74" s="104">
        <f>COUNTIF(总课表!$A$6:$JF$7,A74)</f>
        <v>4</v>
      </c>
      <c r="L74" s="104">
        <f>COUNTIF(总课表!$II$28:$JF$31,A74)</f>
        <v>0</v>
      </c>
      <c r="M74" s="104">
        <f>COUNTIF(总课表!$A$33:$FN$33,A74)</f>
        <v>3</v>
      </c>
      <c r="N74" s="104">
        <f>COUNTIF(总课表!$II$35:$JF$39,A74)</f>
        <v>2</v>
      </c>
      <c r="O74" s="104">
        <f>COUNTIF(总课表!$II$41:$JF$41,A74)</f>
        <v>0</v>
      </c>
      <c r="P74" s="105">
        <f>COUNTIF(总课表!$A$26:$GL$27,A74)</f>
        <v>1</v>
      </c>
      <c r="Q74" s="105">
        <f>COUNTIF(总课表!$A$9:$GL$25,A74)</f>
        <v>21</v>
      </c>
      <c r="R74" s="102">
        <f>COUNTIF(总课表!$A$28:$GL$31,A74)</f>
        <v>4</v>
      </c>
    </row>
    <row r="75" spans="1:18" s="59" customFormat="1" ht="12.75" x14ac:dyDescent="0.3">
      <c r="A75" s="1" t="s">
        <v>75</v>
      </c>
      <c r="B75" s="102"/>
      <c r="C75" s="102"/>
      <c r="D75" s="102"/>
      <c r="E75" s="107">
        <f>COUNTIF(总课表!$A$9:$JY$31,A75)</f>
        <v>32</v>
      </c>
      <c r="F75" s="107">
        <f>COUNTIF(总课表!$A$6:$JU$7,A75)</f>
        <v>8</v>
      </c>
      <c r="G75" s="107">
        <f>COUNTIF(总课表!$A$35:$JU$41,A75)</f>
        <v>15</v>
      </c>
      <c r="H75" s="107">
        <f>COUNTIF(总课表!$A$33:$JU$33,A75)</f>
        <v>4</v>
      </c>
      <c r="I75" s="107">
        <f>COUNTIF(总课表!$A$35:$JU$39,A75)</f>
        <v>12</v>
      </c>
      <c r="J75" s="107">
        <f>COUNTIF(总课表!$A$41:$JU$41,A75)</f>
        <v>3</v>
      </c>
      <c r="K75" s="104">
        <f>COUNTIF(总课表!$A$6:$JF$7,A75)</f>
        <v>7</v>
      </c>
      <c r="L75" s="104">
        <f>COUNTIF(总课表!$II$28:$JF$31,A75)</f>
        <v>0</v>
      </c>
      <c r="M75" s="104">
        <f>COUNTIF(总课表!$A$33:$FN$33,A75)</f>
        <v>3</v>
      </c>
      <c r="N75" s="104">
        <f>COUNTIF(总课表!$II$35:$JF$39,A75)</f>
        <v>1</v>
      </c>
      <c r="O75" s="104">
        <f>COUNTIF(总课表!$II$41:$JF$41,A75)</f>
        <v>1</v>
      </c>
      <c r="P75" s="105">
        <f>COUNTIF(总课表!$A$26:$GL$27,A75)</f>
        <v>2</v>
      </c>
      <c r="Q75" s="105">
        <f>COUNTIF(总课表!$A$9:$GL$25,A75)</f>
        <v>18</v>
      </c>
      <c r="R75" s="102">
        <f>COUNTIF(总课表!$A$28:$GL$31,A75)</f>
        <v>1</v>
      </c>
    </row>
    <row r="76" spans="1:18" s="59" customFormat="1" ht="12.75" x14ac:dyDescent="0.3">
      <c r="A76" s="106" t="s">
        <v>74</v>
      </c>
      <c r="B76" s="102"/>
      <c r="C76" s="102"/>
      <c r="D76" s="102"/>
      <c r="E76" s="107">
        <f>COUNTIF(总课表!$A$9:$JY$31,A76)</f>
        <v>25</v>
      </c>
      <c r="F76" s="107">
        <f>COUNTIF(总课表!$A$6:$JU$7,A76)</f>
        <v>8</v>
      </c>
      <c r="G76" s="107">
        <f>COUNTIF(总课表!$A$35:$JU$41,A76)</f>
        <v>7</v>
      </c>
      <c r="H76" s="107">
        <f>COUNTIF(总课表!$A$33:$JU$33,A76)</f>
        <v>2</v>
      </c>
      <c r="I76" s="107">
        <f>COUNTIF(总课表!$A$35:$JU$39,A76)</f>
        <v>5</v>
      </c>
      <c r="J76" s="107">
        <f>COUNTIF(总课表!$A$41:$JU$41,A76)</f>
        <v>2</v>
      </c>
      <c r="K76" s="104">
        <f>COUNTIF(总课表!$A$6:$JF$7,A76)</f>
        <v>7</v>
      </c>
      <c r="L76" s="104">
        <f>COUNTIF(总课表!$II$28:$JF$31,A76)</f>
        <v>0</v>
      </c>
      <c r="M76" s="104">
        <f>COUNTIF(总课表!$A$33:$FN$33,A76)</f>
        <v>2</v>
      </c>
      <c r="N76" s="104">
        <f>COUNTIF(总课表!$II$35:$JF$39,A76)</f>
        <v>1</v>
      </c>
      <c r="O76" s="104">
        <f>COUNTIF(总课表!$II$41:$JF$41,A76)</f>
        <v>0</v>
      </c>
      <c r="P76" s="105">
        <f>COUNTIF(总课表!$A$26:$GL$27,A76)</f>
        <v>1</v>
      </c>
      <c r="Q76" s="105">
        <f>COUNTIF(总课表!$A$9:$GL$25,A76)</f>
        <v>15</v>
      </c>
      <c r="R76" s="102">
        <f>COUNTIF(总课表!$A$28:$GL$31,A76)</f>
        <v>1</v>
      </c>
    </row>
    <row r="77" spans="1:18" s="59" customFormat="1" ht="12.75" x14ac:dyDescent="0.3">
      <c r="A77" s="1" t="s">
        <v>73</v>
      </c>
      <c r="B77" s="102"/>
      <c r="C77" s="102"/>
      <c r="D77" s="102"/>
      <c r="E77" s="107">
        <f>COUNTIF(总课表!$A$9:$JY$31,A77)</f>
        <v>20</v>
      </c>
      <c r="F77" s="107">
        <f>COUNTIF(总课表!$A$6:$JU$7,A77)</f>
        <v>8</v>
      </c>
      <c r="G77" s="107">
        <f>COUNTIF(总课表!$A$35:$JU$41,A77)</f>
        <v>11</v>
      </c>
      <c r="H77" s="107">
        <f>COUNTIF(总课表!$A$33:$JU$33,A77)</f>
        <v>2</v>
      </c>
      <c r="I77" s="107">
        <f>COUNTIF(总课表!$A$35:$JU$39,A77)</f>
        <v>10</v>
      </c>
      <c r="J77" s="107">
        <f>COUNTIF(总课表!$A$41:$JU$41,A77)</f>
        <v>1</v>
      </c>
      <c r="K77" s="104">
        <f>COUNTIF(总课表!$A$6:$JF$7,A77)</f>
        <v>7</v>
      </c>
      <c r="L77" s="104">
        <f>COUNTIF(总课表!$II$28:$JF$31,A77)</f>
        <v>0</v>
      </c>
      <c r="M77" s="104">
        <f>COUNTIF(总课表!$A$33:$FN$33,A77)</f>
        <v>1</v>
      </c>
      <c r="N77" s="104">
        <f>COUNTIF(总课表!$II$35:$JF$39,A77)</f>
        <v>2</v>
      </c>
      <c r="O77" s="104">
        <f>COUNTIF(总课表!$II$41:$JF$41,A77)</f>
        <v>0</v>
      </c>
      <c r="P77" s="105">
        <f>COUNTIF(总课表!$A$26:$GL$27,A77)</f>
        <v>1</v>
      </c>
      <c r="Q77" s="105">
        <f>COUNTIF(总课表!$A$9:$GL$25,A77)</f>
        <v>13</v>
      </c>
      <c r="R77" s="102">
        <f>COUNTIF(总课表!$A$28:$GL$31,A77)</f>
        <v>0</v>
      </c>
    </row>
    <row r="78" spans="1:18" s="59" customFormat="1" ht="12.75" x14ac:dyDescent="0.3">
      <c r="A78" s="1" t="s">
        <v>72</v>
      </c>
      <c r="B78" s="102"/>
      <c r="C78" s="102"/>
      <c r="D78" s="102"/>
      <c r="E78" s="107">
        <f>COUNTIF(总课表!$A$9:$JY$31,A78)</f>
        <v>26</v>
      </c>
      <c r="F78" s="107">
        <f>COUNTIF(总课表!$A$6:$JU$7,A78)</f>
        <v>8</v>
      </c>
      <c r="G78" s="107">
        <f>COUNTIF(总课表!$A$35:$JU$41,A78)</f>
        <v>11</v>
      </c>
      <c r="H78" s="107">
        <f>COUNTIF(总课表!$A$33:$JU$33,A78)</f>
        <v>0</v>
      </c>
      <c r="I78" s="107">
        <f>COUNTIF(总课表!$A$35:$JU$39,A78)</f>
        <v>11</v>
      </c>
      <c r="J78" s="107">
        <f>COUNTIF(总课表!$A$41:$JU$41,A78)</f>
        <v>0</v>
      </c>
      <c r="K78" s="104">
        <f>COUNTIF(总课表!$A$6:$JF$7,A78)</f>
        <v>8</v>
      </c>
      <c r="L78" s="104">
        <f>COUNTIF(总课表!$II$28:$JF$31,A78)</f>
        <v>0</v>
      </c>
      <c r="M78" s="104">
        <f>COUNTIF(总课表!$A$33:$FN$33,A78)</f>
        <v>0</v>
      </c>
      <c r="N78" s="104">
        <f>COUNTIF(总课表!$II$35:$JF$39,A78)</f>
        <v>1</v>
      </c>
      <c r="O78" s="104">
        <f>COUNTIF(总课表!$II$41:$JF$41,A78)</f>
        <v>0</v>
      </c>
      <c r="P78" s="105">
        <f>COUNTIF(总课表!$A$26:$GL$27,A78)</f>
        <v>2</v>
      </c>
      <c r="Q78" s="105">
        <f>COUNTIF(总课表!$A$9:$GL$25,A78)</f>
        <v>14</v>
      </c>
      <c r="R78" s="102">
        <f>COUNTIF(总课表!$A$28:$GL$31,A78)</f>
        <v>1</v>
      </c>
    </row>
    <row r="79" spans="1:18" s="59" customFormat="1" ht="12.75" x14ac:dyDescent="0.3">
      <c r="A79" s="1" t="s">
        <v>79</v>
      </c>
      <c r="B79" s="102"/>
      <c r="C79" s="102"/>
      <c r="D79" s="102"/>
      <c r="E79" s="107">
        <f>COUNTIF(总课表!$A$9:$JY$31,A79)</f>
        <v>48</v>
      </c>
      <c r="F79" s="107">
        <f>COUNTIF(总课表!$A$6:$JU$7,A79)</f>
        <v>4</v>
      </c>
      <c r="G79" s="107">
        <f>COUNTIF(总课表!$A$35:$JU$41,A79)</f>
        <v>21</v>
      </c>
      <c r="H79" s="107">
        <f>COUNTIF(总课表!$A$33:$JU$33,A79)</f>
        <v>6</v>
      </c>
      <c r="I79" s="107">
        <f>COUNTIF(总课表!$A$35:$JU$39,A79)</f>
        <v>16</v>
      </c>
      <c r="J79" s="107">
        <f>COUNTIF(总课表!$A$41:$JU$41,A79)</f>
        <v>5</v>
      </c>
      <c r="K79" s="104">
        <f>COUNTIF(总课表!$A$6:$JF$7,A79)</f>
        <v>4</v>
      </c>
      <c r="L79" s="104">
        <f>COUNTIF(总课表!$II$28:$JF$31,A79)</f>
        <v>1</v>
      </c>
      <c r="M79" s="104">
        <f>COUNTIF(总课表!$A$33:$FN$33,A79)</f>
        <v>6</v>
      </c>
      <c r="N79" s="104">
        <f>COUNTIF(总课表!$II$35:$JF$39,A79)</f>
        <v>0</v>
      </c>
      <c r="O79" s="104">
        <f>COUNTIF(总课表!$II$41:$JF$41,A79)</f>
        <v>0</v>
      </c>
      <c r="P79" s="105">
        <f>COUNTIF(总课表!$A$26:$GL$27,A79)</f>
        <v>0</v>
      </c>
      <c r="Q79" s="105">
        <f>COUNTIF(总课表!$A$9:$GL$25,A79)</f>
        <v>25</v>
      </c>
      <c r="R79" s="102">
        <f>COUNTIF(总课表!$A$28:$GL$31,A79)</f>
        <v>5</v>
      </c>
    </row>
    <row r="80" spans="1:18" s="59" customFormat="1" ht="12.75" x14ac:dyDescent="0.3">
      <c r="A80" s="1" t="s">
        <v>80</v>
      </c>
      <c r="B80" s="102"/>
      <c r="C80" s="102"/>
      <c r="D80" s="102"/>
      <c r="E80" s="107">
        <f>COUNTIF(总课表!$A$9:$JY$31,A80)</f>
        <v>39</v>
      </c>
      <c r="F80" s="107">
        <f>COUNTIF(总课表!$A$6:$JU$7,A80)</f>
        <v>0</v>
      </c>
      <c r="G80" s="107">
        <f>COUNTIF(总课表!$A$35:$JU$41,A80)</f>
        <v>14</v>
      </c>
      <c r="H80" s="107">
        <f>COUNTIF(总课表!$A$33:$JU$33,A80)</f>
        <v>4</v>
      </c>
      <c r="I80" s="107">
        <f>COUNTIF(总课表!$A$35:$JU$39,A80)</f>
        <v>9</v>
      </c>
      <c r="J80" s="107">
        <f>COUNTIF(总课表!$A$41:$JU$41,A80)</f>
        <v>5</v>
      </c>
      <c r="K80" s="104">
        <f>COUNTIF(总课表!$A$6:$JF$7,A80)</f>
        <v>0</v>
      </c>
      <c r="L80" s="104">
        <f>COUNTIF(总课表!$II$28:$JF$31,A80)</f>
        <v>0</v>
      </c>
      <c r="M80" s="104">
        <f>COUNTIF(总课表!$A$33:$FN$33,A80)</f>
        <v>1</v>
      </c>
      <c r="N80" s="104">
        <f>COUNTIF(总课表!$II$35:$JF$39,A80)</f>
        <v>0</v>
      </c>
      <c r="O80" s="104">
        <f>COUNTIF(总课表!$II$41:$JF$41,A80)</f>
        <v>1</v>
      </c>
      <c r="P80" s="105">
        <f>COUNTIF(总课表!$A$26:$GL$27,A80)</f>
        <v>0</v>
      </c>
      <c r="Q80" s="105">
        <f>COUNTIF(总课表!$A$9:$GL$25,A80)</f>
        <v>22</v>
      </c>
      <c r="R80" s="102">
        <f>COUNTIF(总课表!$A$28:$GL$31,A80)</f>
        <v>4</v>
      </c>
    </row>
    <row r="81" spans="1:18" s="59" customFormat="1" ht="12.75" x14ac:dyDescent="0.3">
      <c r="A81" s="1" t="s">
        <v>78</v>
      </c>
      <c r="B81" s="102"/>
      <c r="C81" s="102"/>
      <c r="D81" s="102"/>
      <c r="E81" s="107">
        <f>COUNTIF(总课表!$A$9:$JY$31,A81)</f>
        <v>41</v>
      </c>
      <c r="F81" s="107">
        <f>COUNTIF(总课表!$A$6:$JU$7,A81)</f>
        <v>4</v>
      </c>
      <c r="G81" s="107">
        <f>COUNTIF(总课表!$A$35:$JU$41,A81)</f>
        <v>20</v>
      </c>
      <c r="H81" s="107">
        <f>COUNTIF(总课表!$A$33:$JU$33,A81)</f>
        <v>6</v>
      </c>
      <c r="I81" s="107">
        <f>COUNTIF(总课表!$A$35:$JU$39,A81)</f>
        <v>17</v>
      </c>
      <c r="J81" s="107">
        <f>COUNTIF(总课表!$A$41:$JU$41,A81)</f>
        <v>3</v>
      </c>
      <c r="K81" s="104">
        <f>COUNTIF(总课表!$A$6:$JF$7,A81)</f>
        <v>3</v>
      </c>
      <c r="L81" s="104">
        <f>COUNTIF(总课表!$II$28:$JF$31,A81)</f>
        <v>1</v>
      </c>
      <c r="M81" s="104">
        <f>COUNTIF(总课表!$A$33:$FN$33,A81)</f>
        <v>4</v>
      </c>
      <c r="N81" s="104">
        <f>COUNTIF(总课表!$II$35:$JF$39,A81)</f>
        <v>2</v>
      </c>
      <c r="O81" s="104">
        <f>COUNTIF(总课表!$II$41:$JF$41,A81)</f>
        <v>1</v>
      </c>
      <c r="P81" s="105">
        <f>COUNTIF(总课表!$A$26:$GL$27,A81)</f>
        <v>1</v>
      </c>
      <c r="Q81" s="105">
        <f>COUNTIF(总课表!$A$9:$GL$25,A81)</f>
        <v>23</v>
      </c>
      <c r="R81" s="102">
        <f>COUNTIF(总课表!$A$28:$GL$31,A81)</f>
        <v>4</v>
      </c>
    </row>
    <row r="82" spans="1:18" s="59" customFormat="1" ht="12.75" x14ac:dyDescent="0.3">
      <c r="A82" s="1" t="s">
        <v>77</v>
      </c>
      <c r="B82" s="102"/>
      <c r="C82" s="102"/>
      <c r="D82" s="102"/>
      <c r="E82" s="107">
        <f>COUNTIF(总课表!$A$9:$JY$31,A82)</f>
        <v>37</v>
      </c>
      <c r="F82" s="107">
        <f>COUNTIF(总课表!$A$6:$JU$7,A82)</f>
        <v>0</v>
      </c>
      <c r="G82" s="107">
        <f>COUNTIF(总课表!$A$35:$JU$41,A82)</f>
        <v>19</v>
      </c>
      <c r="H82" s="107">
        <f>COUNTIF(总课表!$A$33:$JU$33,A82)</f>
        <v>8</v>
      </c>
      <c r="I82" s="107">
        <f>COUNTIF(总课表!$A$35:$JU$39,A82)</f>
        <v>12</v>
      </c>
      <c r="J82" s="107">
        <f>COUNTIF(总课表!$A$41:$JU$41,A82)</f>
        <v>7</v>
      </c>
      <c r="K82" s="104">
        <f>COUNTIF(总课表!$A$6:$JF$7,A82)</f>
        <v>0</v>
      </c>
      <c r="L82" s="104">
        <f>COUNTIF(总课表!$II$28:$JF$31,A82)</f>
        <v>0</v>
      </c>
      <c r="M82" s="104">
        <f>COUNTIF(总课表!$A$33:$FN$33,A82)</f>
        <v>4</v>
      </c>
      <c r="N82" s="104">
        <f>COUNTIF(总课表!$II$35:$JF$39,A82)</f>
        <v>0</v>
      </c>
      <c r="O82" s="104">
        <f>COUNTIF(总课表!$II$41:$JF$41,A82)</f>
        <v>1</v>
      </c>
      <c r="P82" s="105">
        <f>COUNTIF(总课表!$A$26:$GL$27,A82)</f>
        <v>1</v>
      </c>
      <c r="Q82" s="105">
        <f>COUNTIF(总课表!$A$9:$GL$25,A82)</f>
        <v>18</v>
      </c>
      <c r="R82" s="102">
        <f>COUNTIF(总课表!$A$28:$GL$31,A82)</f>
        <v>5</v>
      </c>
    </row>
    <row r="83" spans="1:18" s="59" customFormat="1" ht="12.75" x14ac:dyDescent="0.3">
      <c r="A83" s="1" t="s">
        <v>84</v>
      </c>
      <c r="B83" s="102"/>
      <c r="C83" s="102"/>
      <c r="D83" s="102"/>
      <c r="E83" s="107">
        <f>COUNTIF(总课表!$A$9:$JY$31,A83)</f>
        <v>18</v>
      </c>
      <c r="F83" s="107">
        <f>COUNTIF(总课表!$A$6:$JU$7,A83)</f>
        <v>0</v>
      </c>
      <c r="G83" s="107">
        <f>COUNTIF(总课表!$A$35:$JU$41,A83)</f>
        <v>0</v>
      </c>
      <c r="H83" s="107">
        <f>COUNTIF(总课表!$A$33:$JU$33,A83)</f>
        <v>0</v>
      </c>
      <c r="I83" s="107">
        <f>COUNTIF(总课表!$A$35:$JU$39,A83)</f>
        <v>0</v>
      </c>
      <c r="J83" s="107">
        <f>COUNTIF(总课表!$A$41:$JU$41,A83)</f>
        <v>0</v>
      </c>
      <c r="K83" s="104">
        <f>COUNTIF(总课表!$A$6:$JF$7,A83)</f>
        <v>0</v>
      </c>
      <c r="L83" s="104">
        <f>COUNTIF(总课表!$II$28:$JF$31,A83)</f>
        <v>0</v>
      </c>
      <c r="M83" s="104">
        <f>COUNTIF(总课表!$A$33:$FN$33,A83)</f>
        <v>0</v>
      </c>
      <c r="N83" s="104">
        <f>COUNTIF(总课表!$II$35:$JF$39,A83)</f>
        <v>0</v>
      </c>
      <c r="O83" s="104">
        <f>COUNTIF(总课表!$II$41:$JF$41,A83)</f>
        <v>0</v>
      </c>
      <c r="P83" s="105">
        <f>COUNTIF(总课表!$A$26:$GL$27,A83)</f>
        <v>0</v>
      </c>
      <c r="Q83" s="105">
        <f>COUNTIF(总课表!$A$9:$GL$25,A83)</f>
        <v>11</v>
      </c>
      <c r="R83" s="102">
        <f>COUNTIF(总课表!$A$28:$GL$31,A83)</f>
        <v>0</v>
      </c>
    </row>
    <row r="84" spans="1:18" s="59" customFormat="1" ht="12.75" x14ac:dyDescent="0.3">
      <c r="A84" s="111" t="s">
        <v>83</v>
      </c>
      <c r="B84" s="102"/>
      <c r="C84" s="102"/>
      <c r="D84" s="102"/>
      <c r="E84" s="107">
        <f>COUNTIF(总课表!$A$9:$JY$31,A84)</f>
        <v>20</v>
      </c>
      <c r="F84" s="107">
        <f>COUNTIF(总课表!$A$6:$JU$7,A84)</f>
        <v>0</v>
      </c>
      <c r="G84" s="107">
        <f>COUNTIF(总课表!$A$35:$JU$41,A84)</f>
        <v>0</v>
      </c>
      <c r="H84" s="107">
        <f>COUNTIF(总课表!$A$33:$JU$33,A84)</f>
        <v>0</v>
      </c>
      <c r="I84" s="107">
        <f>COUNTIF(总课表!$A$35:$JU$39,A84)</f>
        <v>0</v>
      </c>
      <c r="J84" s="107">
        <f>COUNTIF(总课表!$A$41:$JU$41,A84)</f>
        <v>0</v>
      </c>
      <c r="K84" s="104">
        <f>COUNTIF(总课表!$A$6:$JF$7,A84)</f>
        <v>0</v>
      </c>
      <c r="L84" s="104">
        <f>COUNTIF(总课表!$II$28:$JF$31,A84)</f>
        <v>0</v>
      </c>
      <c r="M84" s="104">
        <f>COUNTIF(总课表!$A$33:$FN$33,A84)</f>
        <v>0</v>
      </c>
      <c r="N84" s="104">
        <f>COUNTIF(总课表!$II$35:$JF$39,A84)</f>
        <v>0</v>
      </c>
      <c r="O84" s="104">
        <f>COUNTIF(总课表!$II$41:$JF$41,A84)</f>
        <v>0</v>
      </c>
      <c r="P84" s="105">
        <f>COUNTIF(总课表!$A$26:$GL$27,A84)</f>
        <v>0</v>
      </c>
      <c r="Q84" s="105">
        <f>COUNTIF(总课表!$A$9:$GL$25,A84)</f>
        <v>12</v>
      </c>
      <c r="R84" s="102">
        <f>COUNTIF(总课表!$A$28:$GL$31,A84)</f>
        <v>0</v>
      </c>
    </row>
    <row r="85" spans="1:18" s="60" customFormat="1" ht="12.75" x14ac:dyDescent="0.3">
      <c r="A85" s="111" t="s">
        <v>82</v>
      </c>
      <c r="B85" s="105"/>
      <c r="C85" s="105"/>
      <c r="D85" s="105"/>
      <c r="E85" s="107">
        <f>COUNTIF(总课表!$A$9:$JY$31,A85)</f>
        <v>18</v>
      </c>
      <c r="F85" s="107">
        <f>COUNTIF(总课表!$A$6:$JU$7,A85)</f>
        <v>0</v>
      </c>
      <c r="G85" s="107">
        <f>COUNTIF(总课表!$A$35:$JU$41,A85)</f>
        <v>0</v>
      </c>
      <c r="H85" s="107">
        <f>COUNTIF(总课表!$A$33:$JU$33,A85)</f>
        <v>0</v>
      </c>
      <c r="I85" s="107">
        <f>COUNTIF(总课表!$A$35:$JU$39,A85)</f>
        <v>0</v>
      </c>
      <c r="J85" s="107">
        <f>COUNTIF(总课表!$A$41:$JU$41,A85)</f>
        <v>0</v>
      </c>
      <c r="K85" s="104">
        <f>COUNTIF(总课表!$A$6:$JF$7,A85)</f>
        <v>0</v>
      </c>
      <c r="L85" s="104">
        <f>COUNTIF(总课表!$II$28:$JF$31,A85)</f>
        <v>0</v>
      </c>
      <c r="M85" s="104">
        <f>COUNTIF(总课表!$A$33:$FN$33,A85)</f>
        <v>0</v>
      </c>
      <c r="N85" s="104">
        <f>COUNTIF(总课表!$II$35:$JF$39,A85)</f>
        <v>0</v>
      </c>
      <c r="O85" s="104">
        <f>COUNTIF(总课表!$II$41:$JF$41,A85)</f>
        <v>0</v>
      </c>
      <c r="P85" s="105">
        <f>COUNTIF(总课表!$A$26:$GL$27,A85)</f>
        <v>0</v>
      </c>
      <c r="Q85" s="105">
        <f>COUNTIF(总课表!$A$9:$GL$25,A85)</f>
        <v>12</v>
      </c>
      <c r="R85" s="102">
        <f>COUNTIF(总课表!$A$28:$GL$31,A85)</f>
        <v>0</v>
      </c>
    </row>
    <row r="86" spans="1:18" s="60" customFormat="1" ht="12.75" x14ac:dyDescent="0.3">
      <c r="A86" s="111" t="s">
        <v>86</v>
      </c>
      <c r="B86" s="105"/>
      <c r="C86" s="105"/>
      <c r="D86" s="105"/>
      <c r="E86" s="107">
        <f>COUNTIF(总课表!$A$9:$JY$31,A86)</f>
        <v>8</v>
      </c>
      <c r="F86" s="107">
        <f>COUNTIF(总课表!$A$6:$JU$7,A86)</f>
        <v>0</v>
      </c>
      <c r="G86" s="107">
        <f>COUNTIF(总课表!$A$35:$JU$41,A86)</f>
        <v>0</v>
      </c>
      <c r="H86" s="107">
        <f>COUNTIF(总课表!$A$33:$JU$33,A86)</f>
        <v>0</v>
      </c>
      <c r="I86" s="107">
        <f>COUNTIF(总课表!$A$35:$JU$39,A86)</f>
        <v>0</v>
      </c>
      <c r="J86" s="107">
        <f>COUNTIF(总课表!$A$41:$JU$41,A86)</f>
        <v>0</v>
      </c>
      <c r="K86" s="104">
        <f>COUNTIF(总课表!$A$6:$JF$7,A86)</f>
        <v>0</v>
      </c>
      <c r="L86" s="104">
        <f>COUNTIF(总课表!$II$28:$JF$31,A86)</f>
        <v>0</v>
      </c>
      <c r="M86" s="104">
        <f>COUNTIF(总课表!$A$33:$FN$33,A86)</f>
        <v>0</v>
      </c>
      <c r="N86" s="104">
        <f>COUNTIF(总课表!$II$35:$JF$39,A86)</f>
        <v>0</v>
      </c>
      <c r="O86" s="104">
        <f>COUNTIF(总课表!$II$41:$JF$41,A86)</f>
        <v>0</v>
      </c>
      <c r="P86" s="105">
        <f>COUNTIF(总课表!$A$26:$GL$27,A86)</f>
        <v>0</v>
      </c>
      <c r="Q86" s="105">
        <f>COUNTIF(总课表!$A$9:$GL$25,A86)</f>
        <v>5</v>
      </c>
      <c r="R86" s="102">
        <f>COUNTIF(总课表!$A$28:$GL$31,A86)</f>
        <v>0</v>
      </c>
    </row>
    <row r="87" spans="1:18" s="59" customFormat="1" ht="12.75" x14ac:dyDescent="0.3">
      <c r="A87" s="111" t="s">
        <v>91</v>
      </c>
      <c r="B87" s="102"/>
      <c r="C87" s="102"/>
      <c r="D87" s="102"/>
      <c r="E87" s="107">
        <f>COUNTIF(总课表!$A$9:$JY$31,A87)</f>
        <v>68</v>
      </c>
      <c r="F87" s="107">
        <f>COUNTIF(总课表!$A$6:$JU$7,A87)</f>
        <v>0</v>
      </c>
      <c r="G87" s="107">
        <f>COUNTIF(总课表!$A$35:$JU$41,A87)</f>
        <v>0</v>
      </c>
      <c r="H87" s="107">
        <f>COUNTIF(总课表!$A$33:$JU$33,A87)</f>
        <v>0</v>
      </c>
      <c r="I87" s="107">
        <f>COUNTIF(总课表!$A$35:$JU$39,A87)</f>
        <v>0</v>
      </c>
      <c r="J87" s="107">
        <f>COUNTIF(总课表!$A$41:$JU$41,A87)</f>
        <v>0</v>
      </c>
      <c r="K87" s="104">
        <f>COUNTIF(总课表!$A$6:$JF$7,A87)</f>
        <v>0</v>
      </c>
      <c r="L87" s="104">
        <f>COUNTIF(总课表!$II$28:$JF$31,A87)</f>
        <v>1</v>
      </c>
      <c r="M87" s="104">
        <f>COUNTIF(总课表!$A$33:$FN$33,A87)</f>
        <v>0</v>
      </c>
      <c r="N87" s="104">
        <f>COUNTIF(总课表!$II$35:$JF$39,A87)</f>
        <v>0</v>
      </c>
      <c r="O87" s="104">
        <f>COUNTIF(总课表!$II$41:$JF$41,A87)</f>
        <v>0</v>
      </c>
      <c r="P87" s="105">
        <f>COUNTIF(总课表!$A$26:$GL$27,A87)</f>
        <v>0</v>
      </c>
      <c r="Q87" s="105">
        <f>COUNTIF(总课表!$A$9:$GL$25,A87)</f>
        <v>30</v>
      </c>
      <c r="R87" s="102">
        <f>COUNTIF(总课表!$A$28:$GL$31,A87)</f>
        <v>9</v>
      </c>
    </row>
    <row r="88" spans="1:18" s="59" customFormat="1" ht="12.75" x14ac:dyDescent="0.3">
      <c r="A88" s="111" t="s">
        <v>88</v>
      </c>
      <c r="B88" s="102"/>
      <c r="C88" s="102"/>
      <c r="D88" s="102"/>
      <c r="E88" s="107">
        <f>COUNTIF(总课表!$A$9:$JY$31,A88)</f>
        <v>6</v>
      </c>
      <c r="F88" s="107">
        <f>COUNTIF(总课表!$A$6:$JU$7,A88)</f>
        <v>0</v>
      </c>
      <c r="G88" s="107">
        <f>COUNTIF(总课表!$A$35:$JU$41,A88)</f>
        <v>0</v>
      </c>
      <c r="H88" s="107">
        <f>COUNTIF(总课表!$A$33:$JU$33,A88)</f>
        <v>0</v>
      </c>
      <c r="I88" s="107">
        <f>COUNTIF(总课表!$A$35:$JU$39,A88)</f>
        <v>0</v>
      </c>
      <c r="J88" s="107">
        <f>COUNTIF(总课表!$A$41:$JU$41,A88)</f>
        <v>0</v>
      </c>
      <c r="K88" s="104">
        <f>COUNTIF(总课表!$A$6:$JF$7,A88)</f>
        <v>0</v>
      </c>
      <c r="L88" s="104">
        <f>COUNTIF(总课表!$II$28:$JF$31,A88)</f>
        <v>0</v>
      </c>
      <c r="M88" s="104">
        <f>COUNTIF(总课表!$A$33:$FN$33,A88)</f>
        <v>0</v>
      </c>
      <c r="N88" s="104">
        <f>COUNTIF(总课表!$II$35:$JF$39,A88)</f>
        <v>0</v>
      </c>
      <c r="O88" s="104">
        <f>COUNTIF(总课表!$II$41:$JF$41,A88)</f>
        <v>0</v>
      </c>
      <c r="P88" s="105">
        <f>COUNTIF(总课表!$A$26:$GL$27,A88)</f>
        <v>0</v>
      </c>
      <c r="Q88" s="105">
        <f>COUNTIF(总课表!$A$9:$GL$25,A88)</f>
        <v>3</v>
      </c>
      <c r="R88" s="102">
        <f>COUNTIF(总课表!$A$28:$GL$31,A88)</f>
        <v>0</v>
      </c>
    </row>
    <row r="89" spans="1:18" s="59" customFormat="1" ht="12.75" x14ac:dyDescent="0.3">
      <c r="A89" s="111" t="s">
        <v>90</v>
      </c>
      <c r="B89" s="102"/>
      <c r="C89" s="102"/>
      <c r="D89" s="102"/>
      <c r="E89" s="107">
        <f>COUNTIF(总课表!$A$9:$JY$31,A89)</f>
        <v>28</v>
      </c>
      <c r="F89" s="107">
        <f>COUNTIF(总课表!$A$6:$JU$7,A89)</f>
        <v>0</v>
      </c>
      <c r="G89" s="107">
        <f>COUNTIF(总课表!$A$35:$JU$41,A89)</f>
        <v>0</v>
      </c>
      <c r="H89" s="107">
        <f>COUNTIF(总课表!$A$33:$JU$33,A89)</f>
        <v>0</v>
      </c>
      <c r="I89" s="107">
        <f>COUNTIF(总课表!$A$35:$JU$39,A89)</f>
        <v>0</v>
      </c>
      <c r="J89" s="107">
        <f>COUNTIF(总课表!$A$41:$JU$41,A89)</f>
        <v>0</v>
      </c>
      <c r="K89" s="104">
        <f>COUNTIF(总课表!$A$6:$JF$7,A89)</f>
        <v>0</v>
      </c>
      <c r="L89" s="104">
        <f>COUNTIF(总课表!$II$28:$JF$31,A89)</f>
        <v>1</v>
      </c>
      <c r="M89" s="104">
        <f>COUNTIF(总课表!$A$33:$FN$33,A89)</f>
        <v>0</v>
      </c>
      <c r="N89" s="104">
        <f>COUNTIF(总课表!$II$35:$JF$39,A89)</f>
        <v>0</v>
      </c>
      <c r="O89" s="104">
        <f>COUNTIF(总课表!$II$41:$JF$41,A89)</f>
        <v>0</v>
      </c>
      <c r="P89" s="105">
        <f>COUNTIF(总课表!$A$26:$GL$27,A89)</f>
        <v>0</v>
      </c>
      <c r="Q89" s="105">
        <f>COUNTIF(总课表!$A$9:$GL$25,A89)</f>
        <v>12</v>
      </c>
      <c r="R89" s="102">
        <f>COUNTIF(总课表!$A$28:$GL$31,A89)</f>
        <v>3</v>
      </c>
    </row>
    <row r="90" spans="1:18" s="59" customFormat="1" ht="12.75" x14ac:dyDescent="0.3">
      <c r="A90" s="111"/>
      <c r="B90" s="102"/>
      <c r="C90" s="102"/>
      <c r="D90" s="102"/>
      <c r="E90" s="107">
        <f t="shared" ref="E90:R90" si="0">SUM(E41:E89)</f>
        <v>1535</v>
      </c>
      <c r="F90" s="107">
        <f t="shared" si="0"/>
        <v>178</v>
      </c>
      <c r="G90" s="107">
        <f t="shared" si="0"/>
        <v>671</v>
      </c>
      <c r="H90" s="107">
        <f t="shared" si="0"/>
        <v>167</v>
      </c>
      <c r="I90" s="107">
        <f t="shared" si="0"/>
        <v>504</v>
      </c>
      <c r="J90" s="107">
        <f t="shared" si="0"/>
        <v>167</v>
      </c>
      <c r="K90" s="107">
        <f t="shared" si="0"/>
        <v>165</v>
      </c>
      <c r="L90" s="107">
        <f t="shared" si="0"/>
        <v>17</v>
      </c>
      <c r="M90" s="107">
        <f t="shared" si="0"/>
        <v>100</v>
      </c>
      <c r="N90" s="107">
        <f t="shared" si="0"/>
        <v>43</v>
      </c>
      <c r="O90" s="107">
        <f t="shared" si="0"/>
        <v>14</v>
      </c>
      <c r="P90" s="107">
        <f t="shared" si="0"/>
        <v>57</v>
      </c>
      <c r="Q90" s="107">
        <f t="shared" si="0"/>
        <v>808</v>
      </c>
      <c r="R90" s="107">
        <f t="shared" si="0"/>
        <v>143</v>
      </c>
    </row>
    <row r="91" spans="1:18" ht="15.75" x14ac:dyDescent="0.4">
      <c r="A91" s="102"/>
      <c r="B91" s="102"/>
      <c r="C91" s="102"/>
      <c r="D91" s="102"/>
      <c r="E91" s="105" t="s">
        <v>225</v>
      </c>
      <c r="F91" s="105" t="s">
        <v>159</v>
      </c>
      <c r="G91" s="105" t="s">
        <v>226</v>
      </c>
      <c r="H91" s="105" t="s">
        <v>165</v>
      </c>
      <c r="I91" s="105" t="s">
        <v>227</v>
      </c>
      <c r="J91" s="105" t="s">
        <v>228</v>
      </c>
      <c r="K91" s="102" t="s">
        <v>159</v>
      </c>
      <c r="L91" s="102" t="s">
        <v>225</v>
      </c>
      <c r="M91" s="102" t="s">
        <v>165</v>
      </c>
      <c r="N91" s="102" t="s">
        <v>227</v>
      </c>
      <c r="O91" s="102" t="s">
        <v>228</v>
      </c>
      <c r="P91" s="102"/>
      <c r="Q91" s="112"/>
      <c r="R91" s="112"/>
    </row>
    <row r="92" spans="1:18" ht="15.75" x14ac:dyDescent="0.4">
      <c r="A92" s="102"/>
      <c r="B92" s="112"/>
      <c r="C92" s="112"/>
      <c r="D92" s="112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2"/>
      <c r="R92" s="112"/>
    </row>
    <row r="93" spans="1:18" ht="15.75" x14ac:dyDescent="0.4">
      <c r="A93" s="102"/>
      <c r="B93" s="112"/>
      <c r="C93" s="112"/>
      <c r="D93" s="112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2"/>
      <c r="R93" s="112"/>
    </row>
    <row r="94" spans="1:18" ht="15.75" x14ac:dyDescent="0.4">
      <c r="A94" s="102"/>
      <c r="B94" s="112"/>
      <c r="C94" s="112"/>
      <c r="D94" s="112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2"/>
      <c r="R94" s="112"/>
    </row>
    <row r="95" spans="1:18" ht="15.75" x14ac:dyDescent="0.4">
      <c r="A95" s="102"/>
      <c r="B95" s="112"/>
      <c r="C95" s="112"/>
      <c r="D95" s="112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2"/>
      <c r="R95" s="112"/>
    </row>
    <row r="96" spans="1:18" ht="15.75" x14ac:dyDescent="0.4">
      <c r="A96" s="102"/>
      <c r="B96" s="112"/>
      <c r="C96" s="112"/>
      <c r="D96" s="112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2"/>
      <c r="R96" s="112"/>
    </row>
    <row r="97" spans="1:18" ht="15.75" x14ac:dyDescent="0.4">
      <c r="A97" s="102"/>
      <c r="B97" s="112"/>
      <c r="C97" s="112"/>
      <c r="D97" s="112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2"/>
      <c r="R97" s="112"/>
    </row>
    <row r="98" spans="1:18" ht="15.75" x14ac:dyDescent="0.4">
      <c r="A98" s="102"/>
      <c r="B98" s="112"/>
      <c r="C98" s="112"/>
      <c r="D98" s="112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2"/>
      <c r="R98" s="112"/>
    </row>
    <row r="99" spans="1:18" ht="15.75" x14ac:dyDescent="0.4">
      <c r="A99" s="102"/>
      <c r="B99" s="112"/>
      <c r="C99" s="112"/>
      <c r="D99" s="112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2"/>
      <c r="R99" s="112"/>
    </row>
    <row r="100" spans="1:18" ht="15.75" x14ac:dyDescent="0.4">
      <c r="A100" s="102"/>
      <c r="B100" s="112"/>
      <c r="C100" s="112"/>
      <c r="D100" s="112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2"/>
      <c r="R100" s="112"/>
    </row>
    <row r="101" spans="1:18" ht="15.75" x14ac:dyDescent="0.4">
      <c r="A101" s="102"/>
      <c r="B101" s="112"/>
      <c r="C101" s="112"/>
      <c r="D101" s="112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2"/>
      <c r="R101" s="112"/>
    </row>
    <row r="102" spans="1:18" ht="15.75" x14ac:dyDescent="0.4">
      <c r="A102" s="102"/>
      <c r="B102" s="112"/>
      <c r="C102" s="112"/>
      <c r="D102" s="112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2"/>
      <c r="R102" s="112"/>
    </row>
    <row r="103" spans="1:18" ht="15.75" x14ac:dyDescent="0.4">
      <c r="A103" s="102"/>
      <c r="B103" s="112"/>
      <c r="C103" s="112"/>
      <c r="D103" s="112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2"/>
      <c r="R103" s="112"/>
    </row>
    <row r="104" spans="1:18" ht="15.75" x14ac:dyDescent="0.4">
      <c r="A104" s="102"/>
      <c r="B104" s="112"/>
      <c r="C104" s="112"/>
      <c r="D104" s="112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2"/>
      <c r="R104" s="112"/>
    </row>
    <row r="105" spans="1:18" ht="15.75" x14ac:dyDescent="0.4">
      <c r="A105" s="102"/>
      <c r="B105" s="112"/>
      <c r="C105" s="112"/>
      <c r="D105" s="112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2"/>
      <c r="R105" s="112"/>
    </row>
    <row r="106" spans="1:18" ht="15.75" x14ac:dyDescent="0.4">
      <c r="A106" s="102"/>
      <c r="B106" s="112"/>
      <c r="C106" s="112"/>
      <c r="D106" s="112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2"/>
      <c r="R106" s="112"/>
    </row>
    <row r="107" spans="1:18" ht="15.75" x14ac:dyDescent="0.4">
      <c r="A107" s="102"/>
      <c r="B107" s="112"/>
      <c r="C107" s="112"/>
      <c r="D107" s="112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2"/>
      <c r="R107" s="112"/>
    </row>
    <row r="108" spans="1:18" ht="15.75" x14ac:dyDescent="0.4">
      <c r="A108" s="102"/>
      <c r="B108" s="112"/>
      <c r="C108" s="112"/>
      <c r="D108" s="112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2"/>
      <c r="R108" s="112"/>
    </row>
    <row r="109" spans="1:18" ht="15.75" x14ac:dyDescent="0.4">
      <c r="A109" s="102"/>
      <c r="B109" s="112"/>
      <c r="C109" s="112"/>
      <c r="D109" s="112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2"/>
      <c r="R109" s="112"/>
    </row>
    <row r="110" spans="1:18" ht="15.75" x14ac:dyDescent="0.4">
      <c r="A110" s="102"/>
      <c r="B110" s="112"/>
      <c r="C110" s="112"/>
      <c r="D110" s="112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2"/>
      <c r="R110" s="112"/>
    </row>
    <row r="111" spans="1:18" ht="15.75" x14ac:dyDescent="0.4">
      <c r="A111" s="102"/>
      <c r="B111" s="112"/>
      <c r="C111" s="112"/>
      <c r="D111" s="112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2"/>
      <c r="R111" s="112"/>
    </row>
    <row r="112" spans="1:18" ht="15.75" x14ac:dyDescent="0.4">
      <c r="A112" s="102"/>
      <c r="B112" s="112"/>
      <c r="C112" s="112"/>
      <c r="D112" s="112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2"/>
      <c r="R112" s="112"/>
    </row>
    <row r="113" spans="1:18" ht="15.75" x14ac:dyDescent="0.4">
      <c r="A113" s="102"/>
      <c r="B113" s="112"/>
      <c r="C113" s="112"/>
      <c r="D113" s="112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2"/>
      <c r="R113" s="112"/>
    </row>
    <row r="114" spans="1:18" ht="15.75" x14ac:dyDescent="0.4">
      <c r="A114" s="102"/>
      <c r="B114" s="112"/>
      <c r="C114" s="112"/>
      <c r="D114" s="112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2"/>
      <c r="R114" s="112"/>
    </row>
    <row r="115" spans="1:18" ht="15.75" x14ac:dyDescent="0.4">
      <c r="A115" s="102"/>
      <c r="B115" s="112"/>
      <c r="C115" s="112"/>
      <c r="D115" s="112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2"/>
      <c r="R115" s="112"/>
    </row>
    <row r="116" spans="1:18" ht="15.75" x14ac:dyDescent="0.4">
      <c r="A116" s="102"/>
      <c r="B116" s="112"/>
      <c r="C116" s="112"/>
      <c r="D116" s="112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2"/>
      <c r="R116" s="112"/>
    </row>
    <row r="117" spans="1:18" ht="15.75" x14ac:dyDescent="0.4">
      <c r="A117" s="102"/>
      <c r="B117" s="112"/>
      <c r="C117" s="112"/>
      <c r="D117" s="112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2"/>
      <c r="R117" s="112"/>
    </row>
    <row r="118" spans="1:18" ht="15.75" x14ac:dyDescent="0.4">
      <c r="A118" s="102"/>
      <c r="B118" s="112"/>
      <c r="C118" s="112"/>
      <c r="D118" s="112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2"/>
      <c r="R118" s="112"/>
    </row>
    <row r="119" spans="1:18" ht="15.75" x14ac:dyDescent="0.4">
      <c r="A119" s="102"/>
      <c r="B119" s="112"/>
      <c r="C119" s="112"/>
      <c r="D119" s="112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2"/>
      <c r="R119" s="112"/>
    </row>
    <row r="120" spans="1:18" ht="15.75" x14ac:dyDescent="0.4">
      <c r="A120" s="102"/>
      <c r="B120" s="112"/>
      <c r="C120" s="112"/>
      <c r="D120" s="112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2"/>
      <c r="R120" s="112"/>
    </row>
    <row r="121" spans="1:18" ht="15.75" x14ac:dyDescent="0.4">
      <c r="A121" s="102"/>
      <c r="B121" s="112"/>
      <c r="C121" s="112"/>
      <c r="D121" s="112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2"/>
      <c r="R121" s="112"/>
    </row>
    <row r="122" spans="1:18" ht="15.75" x14ac:dyDescent="0.4">
      <c r="A122" s="102"/>
      <c r="B122" s="112"/>
      <c r="C122" s="112"/>
      <c r="D122" s="112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2"/>
      <c r="R122" s="112"/>
    </row>
    <row r="123" spans="1:18" ht="15.75" x14ac:dyDescent="0.4">
      <c r="A123" s="102"/>
      <c r="B123" s="112"/>
      <c r="C123" s="112"/>
      <c r="D123" s="112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2"/>
      <c r="R123" s="112"/>
    </row>
    <row r="124" spans="1:18" ht="15.75" x14ac:dyDescent="0.4">
      <c r="A124" s="102"/>
      <c r="B124" s="112"/>
      <c r="C124" s="112"/>
      <c r="D124" s="112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2"/>
      <c r="R124" s="112"/>
    </row>
    <row r="125" spans="1:18" ht="15.75" x14ac:dyDescent="0.4">
      <c r="A125" s="102"/>
      <c r="B125" s="112"/>
      <c r="C125" s="112"/>
      <c r="D125" s="112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2"/>
      <c r="R125" s="112"/>
    </row>
    <row r="126" spans="1:18" ht="15.75" x14ac:dyDescent="0.4">
      <c r="A126" s="102"/>
      <c r="B126" s="112"/>
      <c r="C126" s="112"/>
      <c r="D126" s="112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2"/>
      <c r="R126" s="112"/>
    </row>
    <row r="127" spans="1:18" ht="15.75" x14ac:dyDescent="0.4">
      <c r="A127" s="102"/>
      <c r="B127" s="112"/>
      <c r="C127" s="112"/>
      <c r="D127" s="112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2"/>
      <c r="R127" s="112"/>
    </row>
    <row r="128" spans="1:18" ht="15.75" x14ac:dyDescent="0.4">
      <c r="A128" s="102"/>
      <c r="B128" s="112"/>
      <c r="C128" s="112"/>
      <c r="D128" s="112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2"/>
      <c r="R128" s="112"/>
    </row>
    <row r="129" spans="1:18" ht="15.75" x14ac:dyDescent="0.4">
      <c r="A129" s="102"/>
      <c r="B129" s="112"/>
      <c r="C129" s="112"/>
      <c r="D129" s="112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2"/>
      <c r="R129" s="112"/>
    </row>
    <row r="130" spans="1:18" ht="15.75" x14ac:dyDescent="0.4">
      <c r="A130" s="102"/>
      <c r="B130" s="112"/>
      <c r="C130" s="112"/>
      <c r="D130" s="112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2"/>
      <c r="R130" s="112"/>
    </row>
    <row r="131" spans="1:18" ht="15.75" x14ac:dyDescent="0.4">
      <c r="A131" s="102"/>
      <c r="B131" s="112"/>
      <c r="C131" s="112"/>
      <c r="D131" s="112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2"/>
      <c r="R131" s="112"/>
    </row>
    <row r="132" spans="1:18" ht="15.75" x14ac:dyDescent="0.4">
      <c r="A132" s="102"/>
      <c r="B132" s="112"/>
      <c r="C132" s="112"/>
      <c r="D132" s="112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2"/>
      <c r="R132" s="112"/>
    </row>
    <row r="133" spans="1:18" ht="15.75" x14ac:dyDescent="0.4">
      <c r="A133" s="102"/>
      <c r="B133" s="112"/>
      <c r="C133" s="112"/>
      <c r="D133" s="112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2"/>
      <c r="R133" s="112"/>
    </row>
    <row r="134" spans="1:18" ht="15.75" x14ac:dyDescent="0.4">
      <c r="A134" s="102"/>
      <c r="B134" s="112"/>
      <c r="C134" s="112"/>
      <c r="D134" s="112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2"/>
      <c r="R134" s="112"/>
    </row>
    <row r="135" spans="1:18" ht="15.75" x14ac:dyDescent="0.4">
      <c r="A135" s="102"/>
      <c r="B135" s="112"/>
      <c r="C135" s="112"/>
      <c r="D135" s="112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2"/>
      <c r="R135" s="112"/>
    </row>
    <row r="136" spans="1:18" ht="15.75" x14ac:dyDescent="0.4">
      <c r="A136" s="102"/>
      <c r="B136" s="112"/>
      <c r="C136" s="112"/>
      <c r="D136" s="112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2"/>
      <c r="R136" s="112"/>
    </row>
    <row r="137" spans="1:18" ht="15.75" x14ac:dyDescent="0.4">
      <c r="A137" s="102"/>
      <c r="B137" s="112"/>
      <c r="C137" s="112"/>
      <c r="D137" s="112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2"/>
      <c r="R137" s="112"/>
    </row>
    <row r="138" spans="1:18" ht="15.75" x14ac:dyDescent="0.4">
      <c r="A138" s="102"/>
      <c r="B138" s="112"/>
      <c r="C138" s="112"/>
      <c r="D138" s="112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2"/>
      <c r="R138" s="112"/>
    </row>
    <row r="139" spans="1:18" ht="15.75" x14ac:dyDescent="0.4">
      <c r="A139" s="102"/>
      <c r="B139" s="112"/>
      <c r="C139" s="112"/>
      <c r="D139" s="112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2"/>
      <c r="R139" s="112"/>
    </row>
    <row r="140" spans="1:18" ht="15.75" x14ac:dyDescent="0.4">
      <c r="A140" s="102"/>
      <c r="B140" s="112"/>
      <c r="C140" s="112"/>
      <c r="D140" s="112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2"/>
      <c r="R140" s="112"/>
    </row>
    <row r="141" spans="1:18" ht="15.75" x14ac:dyDescent="0.4">
      <c r="A141" s="102"/>
      <c r="B141" s="112"/>
      <c r="C141" s="112"/>
      <c r="D141" s="112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2"/>
      <c r="R141" s="112"/>
    </row>
    <row r="142" spans="1:18" ht="15.75" x14ac:dyDescent="0.4">
      <c r="A142" s="102"/>
      <c r="B142" s="112"/>
      <c r="C142" s="112"/>
      <c r="D142" s="112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2"/>
      <c r="R142" s="112"/>
    </row>
    <row r="143" spans="1:18" ht="15.75" x14ac:dyDescent="0.4">
      <c r="A143" s="112"/>
      <c r="B143" s="112"/>
      <c r="C143" s="112"/>
      <c r="D143" s="112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2"/>
      <c r="R143" s="112"/>
    </row>
    <row r="144" spans="1:18" ht="15.75" x14ac:dyDescent="0.4">
      <c r="A144" s="102"/>
      <c r="B144" s="112"/>
      <c r="C144" s="112"/>
      <c r="D144" s="112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2"/>
      <c r="R144" s="112"/>
    </row>
    <row r="145" spans="1:18" ht="15.75" x14ac:dyDescent="0.4">
      <c r="A145" s="102"/>
      <c r="B145" s="112"/>
      <c r="C145" s="112"/>
      <c r="D145" s="112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2"/>
      <c r="R145" s="112"/>
    </row>
    <row r="146" spans="1:18" ht="15.75" x14ac:dyDescent="0.4">
      <c r="A146" s="102"/>
      <c r="B146" s="112"/>
      <c r="C146" s="112"/>
      <c r="D146" s="112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2"/>
      <c r="R146" s="112"/>
    </row>
    <row r="147" spans="1:18" ht="15.75" x14ac:dyDescent="0.4">
      <c r="A147" s="102"/>
      <c r="B147" s="112"/>
      <c r="C147" s="112"/>
      <c r="D147" s="112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2"/>
      <c r="R147" s="112"/>
    </row>
    <row r="148" spans="1:18" ht="15.75" x14ac:dyDescent="0.4">
      <c r="A148" s="102"/>
      <c r="B148" s="112"/>
      <c r="C148" s="112"/>
      <c r="D148" s="112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2"/>
      <c r="R148" s="112"/>
    </row>
    <row r="149" spans="1:18" ht="15.75" x14ac:dyDescent="0.4">
      <c r="A149" s="102"/>
      <c r="B149" s="112"/>
      <c r="C149" s="112"/>
      <c r="D149" s="112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2"/>
      <c r="R149" s="112"/>
    </row>
    <row r="150" spans="1:18" ht="15.75" x14ac:dyDescent="0.4">
      <c r="A150" s="102"/>
      <c r="B150" s="112"/>
      <c r="C150" s="112"/>
      <c r="D150" s="112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2"/>
      <c r="R150" s="112"/>
    </row>
    <row r="151" spans="1:18" ht="15.75" x14ac:dyDescent="0.4">
      <c r="A151" s="102"/>
      <c r="B151" s="112"/>
      <c r="C151" s="112"/>
      <c r="D151" s="112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2"/>
      <c r="R151" s="112"/>
    </row>
    <row r="152" spans="1:18" ht="15.75" x14ac:dyDescent="0.4">
      <c r="A152" s="102"/>
      <c r="B152" s="112"/>
      <c r="C152" s="112"/>
      <c r="D152" s="112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2"/>
      <c r="R152" s="112"/>
    </row>
    <row r="153" spans="1:18" ht="15.75" x14ac:dyDescent="0.4">
      <c r="A153" s="102"/>
      <c r="B153" s="112"/>
      <c r="C153" s="112"/>
      <c r="D153" s="112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2"/>
      <c r="R153" s="112"/>
    </row>
    <row r="154" spans="1:18" ht="15.75" x14ac:dyDescent="0.4">
      <c r="A154" s="112"/>
      <c r="B154" s="112"/>
      <c r="C154" s="112"/>
      <c r="D154" s="112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2"/>
      <c r="R154" s="112"/>
    </row>
    <row r="155" spans="1:18" ht="15.75" x14ac:dyDescent="0.4">
      <c r="A155" s="112"/>
      <c r="B155" s="112"/>
      <c r="C155" s="112"/>
      <c r="D155" s="112"/>
      <c r="E155" s="113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</row>
    <row r="156" spans="1:18" ht="15.75" x14ac:dyDescent="0.4">
      <c r="A156" s="112"/>
      <c r="B156" s="112"/>
      <c r="C156" s="112"/>
      <c r="D156" s="112"/>
      <c r="E156" s="113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</row>
    <row r="157" spans="1:18" ht="15.75" x14ac:dyDescent="0.4">
      <c r="A157" s="112"/>
      <c r="B157" s="112"/>
      <c r="C157" s="112"/>
      <c r="D157" s="112"/>
      <c r="E157" s="113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</row>
    <row r="158" spans="1:18" ht="15.75" x14ac:dyDescent="0.4">
      <c r="A158" s="112"/>
      <c r="B158" s="112"/>
      <c r="C158" s="112"/>
      <c r="D158" s="112"/>
      <c r="E158" s="113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</row>
    <row r="159" spans="1:18" ht="15.75" x14ac:dyDescent="0.4">
      <c r="A159" s="112"/>
      <c r="B159" s="112"/>
      <c r="C159" s="112"/>
      <c r="D159" s="112"/>
      <c r="E159" s="113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</row>
    <row r="160" spans="1:18" ht="15.75" x14ac:dyDescent="0.4">
      <c r="A160" s="112"/>
      <c r="B160" s="112"/>
      <c r="C160" s="112"/>
      <c r="D160" s="112"/>
      <c r="E160" s="113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</row>
    <row r="161" spans="1:18" ht="15.75" x14ac:dyDescent="0.4">
      <c r="A161" s="112"/>
      <c r="B161" s="112"/>
      <c r="C161" s="112"/>
      <c r="D161" s="112"/>
      <c r="E161" s="113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</row>
    <row r="162" spans="1:18" ht="18" customHeight="1" x14ac:dyDescent="0.4">
      <c r="A162" s="5" t="s">
        <v>229</v>
      </c>
      <c r="B162" s="5"/>
      <c r="C162" s="5"/>
      <c r="D162" s="5"/>
      <c r="E162" s="5">
        <f>SUM(E41:E161)</f>
        <v>3070</v>
      </c>
      <c r="F162" s="5">
        <f>SUM(F41:F161)</f>
        <v>356</v>
      </c>
      <c r="G162" s="5">
        <f>SUM(G41:G161)</f>
        <v>1342</v>
      </c>
      <c r="H162" s="5">
        <f>SUM(H83:H161)</f>
        <v>167</v>
      </c>
      <c r="I162" s="5"/>
      <c r="J162" s="5"/>
      <c r="K162" s="5"/>
      <c r="L162" s="5"/>
      <c r="M162" s="5"/>
      <c r="N162" s="5"/>
      <c r="O162" s="5"/>
      <c r="P162" s="5">
        <f>SUM(P83:P161)</f>
        <v>57</v>
      </c>
      <c r="Q162" s="112"/>
      <c r="R162" s="112"/>
    </row>
    <row r="163" spans="1:18" ht="40.5" customHeight="1" x14ac:dyDescent="0.4">
      <c r="E163" s="11"/>
    </row>
  </sheetData>
  <protectedRanges>
    <protectedRange sqref="P1" name="区域1"/>
  </protectedRanges>
  <sortState xmlns:xlrd2="http://schemas.microsoft.com/office/spreadsheetml/2017/richdata2" ref="A19:D88">
    <sortCondition ref="A19"/>
  </sortState>
  <mergeCells count="45">
    <mergeCell ref="C31:C32"/>
    <mergeCell ref="C33:C34"/>
    <mergeCell ref="C35:C36"/>
    <mergeCell ref="C37:C38"/>
    <mergeCell ref="C39:C40"/>
    <mergeCell ref="B33:B34"/>
    <mergeCell ref="B35:B36"/>
    <mergeCell ref="B37:B38"/>
    <mergeCell ref="B39:B40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A31:A40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A1:O1"/>
    <mergeCell ref="A2:B2"/>
    <mergeCell ref="A3:A6"/>
    <mergeCell ref="A7:A18"/>
    <mergeCell ref="A19:A30"/>
    <mergeCell ref="C27:C28"/>
    <mergeCell ref="C29:C30"/>
    <mergeCell ref="D11:O12"/>
  </mergeCells>
  <phoneticPr fontId="17" type="noConversion"/>
  <dataValidations count="1">
    <dataValidation type="list" allowBlank="1" showInputMessage="1" showErrorMessage="1" sqref="I1:P1" xr:uid="{00000000-0002-0000-0300-000000000000}">
      <formula1>$A$41:$A$161</formula1>
    </dataValidation>
  </dataValidations>
  <printOptions horizontalCentered="1"/>
  <pageMargins left="0.25138888888888899" right="0.25138888888888899" top="0.75138888888888899" bottom="0.75138888888888899" header="0.29861111111111099" footer="0.29861111111111099"/>
  <pageSetup paperSize="9" scale="74" orientation="portrait"/>
  <headerFooter alignWithMargins="0">
    <oddHeader>&amp;L&amp;G&amp;R2026.4.20</oddHeader>
  </headerFooter>
  <drawing r:id="rId1"/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0"/>
  <sheetViews>
    <sheetView workbookViewId="0">
      <selection activeCell="W37" sqref="W37"/>
    </sheetView>
  </sheetViews>
  <sheetFormatPr defaultColWidth="9" defaultRowHeight="30" customHeight="1" x14ac:dyDescent="0.4"/>
  <cols>
    <col min="1" max="1" width="5.625" style="10" customWidth="1"/>
    <col min="2" max="2" width="6.8125" style="10" customWidth="1"/>
    <col min="3" max="3" width="13.75" style="10" customWidth="1"/>
    <col min="4" max="8" width="8.875" style="10" customWidth="1"/>
    <col min="9" max="9" width="8.625" style="11" customWidth="1"/>
    <col min="10" max="14" width="8.875" style="10" customWidth="1"/>
    <col min="15" max="15" width="9.125" style="10" customWidth="1"/>
    <col min="16" max="16384" width="9" style="10"/>
  </cols>
  <sheetData>
    <row r="1" spans="1:17" ht="60" customHeight="1" x14ac:dyDescent="0.4">
      <c r="A1" s="152" t="str">
        <f>"2026年春季学期"&amp;VLOOKUP($P$1,A43:D70,COLUMN(B43),0)&amp;"课表"</f>
        <v>2026年春季学期高二（8)班课表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9">
        <v>208</v>
      </c>
    </row>
    <row r="2" spans="1:17" ht="50" customHeight="1" x14ac:dyDescent="0.4">
      <c r="A2" s="153" t="s">
        <v>170</v>
      </c>
      <c r="B2" s="154"/>
      <c r="C2" s="12" t="s">
        <v>171</v>
      </c>
      <c r="D2" s="13" t="s">
        <v>172</v>
      </c>
      <c r="E2" s="14" t="s">
        <v>173</v>
      </c>
      <c r="F2" s="14" t="s">
        <v>174</v>
      </c>
      <c r="G2" s="14" t="s">
        <v>175</v>
      </c>
      <c r="H2" s="15" t="s">
        <v>176</v>
      </c>
      <c r="I2" s="13" t="s">
        <v>177</v>
      </c>
      <c r="J2" s="15" t="s">
        <v>178</v>
      </c>
      <c r="K2" s="13" t="s">
        <v>172</v>
      </c>
      <c r="L2" s="14" t="s">
        <v>173</v>
      </c>
      <c r="M2" s="14" t="s">
        <v>174</v>
      </c>
      <c r="N2" s="14" t="s">
        <v>175</v>
      </c>
      <c r="O2" s="15" t="s">
        <v>176</v>
      </c>
    </row>
    <row r="3" spans="1:17" ht="28.05" customHeight="1" x14ac:dyDescent="0.4">
      <c r="A3" s="155" t="s">
        <v>157</v>
      </c>
      <c r="B3" s="167" t="s">
        <v>158</v>
      </c>
      <c r="C3" s="186" t="s">
        <v>179</v>
      </c>
      <c r="D3" s="16"/>
      <c r="E3" s="17"/>
      <c r="F3" s="17"/>
      <c r="G3" s="17"/>
      <c r="H3" s="18"/>
      <c r="I3" s="19"/>
      <c r="J3" s="18"/>
      <c r="K3" s="16"/>
      <c r="L3" s="17"/>
      <c r="M3" s="17"/>
      <c r="N3" s="17"/>
      <c r="O3" s="18"/>
    </row>
    <row r="4" spans="1:17" ht="28.05" customHeight="1" x14ac:dyDescent="0.4">
      <c r="A4" s="156"/>
      <c r="B4" s="168"/>
      <c r="C4" s="187"/>
      <c r="D4" s="20"/>
      <c r="E4" s="21"/>
      <c r="F4" s="21"/>
      <c r="G4" s="21"/>
      <c r="H4" s="22"/>
      <c r="I4" s="23"/>
      <c r="J4" s="22"/>
      <c r="K4" s="23"/>
      <c r="L4" s="21"/>
      <c r="M4" s="21"/>
      <c r="N4" s="21"/>
      <c r="O4" s="22"/>
    </row>
    <row r="5" spans="1:17" ht="28.05" customHeight="1" x14ac:dyDescent="0.4">
      <c r="A5" s="156"/>
      <c r="B5" s="167" t="s">
        <v>159</v>
      </c>
      <c r="C5" s="188" t="s">
        <v>180</v>
      </c>
      <c r="D5" s="16"/>
      <c r="E5" s="17"/>
      <c r="F5" s="17"/>
      <c r="G5" s="17"/>
      <c r="H5" s="18"/>
      <c r="I5" s="19"/>
      <c r="J5" s="18"/>
      <c r="K5" s="16"/>
      <c r="L5" s="17"/>
      <c r="M5" s="17"/>
      <c r="N5" s="17"/>
      <c r="O5" s="18"/>
    </row>
    <row r="6" spans="1:17" ht="28.05" customHeight="1" x14ac:dyDescent="0.4">
      <c r="A6" s="157"/>
      <c r="B6" s="168"/>
      <c r="C6" s="189"/>
      <c r="D6" s="24"/>
      <c r="E6" s="25"/>
      <c r="F6" s="25"/>
      <c r="G6" s="25"/>
      <c r="H6" s="26"/>
      <c r="I6" s="24"/>
      <c r="J6" s="26"/>
      <c r="K6" s="24"/>
      <c r="L6" s="25"/>
      <c r="M6" s="25"/>
      <c r="N6" s="25"/>
      <c r="O6" s="26"/>
    </row>
    <row r="7" spans="1:17" ht="28.05" customHeight="1" x14ac:dyDescent="0.4">
      <c r="A7" s="158" t="s">
        <v>181</v>
      </c>
      <c r="B7" s="169">
        <v>1</v>
      </c>
      <c r="C7" s="190" t="s">
        <v>182</v>
      </c>
      <c r="D7" s="16"/>
      <c r="E7" s="27"/>
      <c r="F7" s="27"/>
      <c r="G7" s="27"/>
      <c r="H7" s="28"/>
      <c r="I7" s="16"/>
      <c r="J7" s="28"/>
      <c r="K7" s="16"/>
      <c r="L7" s="27"/>
      <c r="M7" s="27"/>
      <c r="N7" s="27"/>
      <c r="O7" s="28"/>
    </row>
    <row r="8" spans="1:17" ht="29" customHeight="1" x14ac:dyDescent="0.4">
      <c r="A8" s="159"/>
      <c r="B8" s="170"/>
      <c r="C8" s="187"/>
      <c r="D8" s="20"/>
      <c r="E8" s="21"/>
      <c r="F8" s="29"/>
      <c r="G8" s="29"/>
      <c r="H8" s="30"/>
      <c r="I8" s="23"/>
      <c r="J8" s="30"/>
      <c r="K8" s="20"/>
      <c r="L8" s="29"/>
      <c r="M8" s="29"/>
      <c r="N8" s="29"/>
      <c r="O8" s="30"/>
    </row>
    <row r="9" spans="1:17" ht="29" customHeight="1" x14ac:dyDescent="0.4">
      <c r="A9" s="159"/>
      <c r="B9" s="171">
        <v>2</v>
      </c>
      <c r="C9" s="186" t="s">
        <v>183</v>
      </c>
      <c r="D9" s="19"/>
      <c r="E9" s="17"/>
      <c r="F9" s="17"/>
      <c r="G9" s="17"/>
      <c r="H9" s="18"/>
      <c r="I9" s="19"/>
      <c r="J9" s="18"/>
      <c r="K9" s="16"/>
      <c r="L9" s="27"/>
      <c r="M9" s="27"/>
      <c r="N9" s="27"/>
      <c r="O9" s="28"/>
    </row>
    <row r="10" spans="1:17" ht="29" customHeight="1" x14ac:dyDescent="0.4">
      <c r="A10" s="159"/>
      <c r="B10" s="172"/>
      <c r="C10" s="187"/>
      <c r="D10" s="31"/>
      <c r="E10" s="32"/>
      <c r="F10" s="33"/>
      <c r="G10" s="33"/>
      <c r="H10" s="34"/>
      <c r="I10" s="31"/>
      <c r="J10" s="34"/>
      <c r="K10" s="35"/>
      <c r="L10" s="33"/>
      <c r="M10" s="33"/>
      <c r="N10" s="33"/>
      <c r="O10" s="34"/>
      <c r="Q10" s="36"/>
    </row>
    <row r="11" spans="1:17" ht="29" customHeight="1" x14ac:dyDescent="0.4">
      <c r="A11" s="159"/>
      <c r="B11" s="173" t="s">
        <v>161</v>
      </c>
      <c r="C11" s="191" t="s">
        <v>184</v>
      </c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2"/>
      <c r="P11" s="37"/>
      <c r="Q11" s="38"/>
    </row>
    <row r="12" spans="1:17" ht="29" customHeight="1" x14ac:dyDescent="0.4">
      <c r="A12" s="159"/>
      <c r="B12" s="174"/>
      <c r="C12" s="192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2"/>
      <c r="P12" s="37"/>
      <c r="Q12" s="39"/>
    </row>
    <row r="13" spans="1:17" ht="29" customHeight="1" x14ac:dyDescent="0.4">
      <c r="A13" s="159"/>
      <c r="B13" s="175">
        <v>3</v>
      </c>
      <c r="C13" s="193" t="s">
        <v>186</v>
      </c>
      <c r="D13" s="19"/>
      <c r="E13" s="17"/>
      <c r="F13" s="17"/>
      <c r="G13" s="17"/>
      <c r="H13" s="18"/>
      <c r="I13" s="19"/>
      <c r="J13" s="18"/>
      <c r="K13" s="16"/>
      <c r="L13" s="27"/>
      <c r="M13" s="27"/>
      <c r="N13" s="27"/>
      <c r="O13" s="28"/>
    </row>
    <row r="14" spans="1:17" ht="29" customHeight="1" x14ac:dyDescent="0.4">
      <c r="A14" s="159"/>
      <c r="B14" s="175"/>
      <c r="C14" s="194"/>
      <c r="D14" s="23"/>
      <c r="E14" s="21"/>
      <c r="F14" s="29"/>
      <c r="G14" s="29"/>
      <c r="H14" s="30"/>
      <c r="I14" s="23"/>
      <c r="J14" s="30"/>
      <c r="K14" s="20"/>
      <c r="L14" s="29"/>
      <c r="M14" s="29"/>
      <c r="N14" s="29"/>
      <c r="O14" s="30"/>
    </row>
    <row r="15" spans="1:17" ht="29" customHeight="1" x14ac:dyDescent="0.4">
      <c r="A15" s="159"/>
      <c r="B15" s="175">
        <v>4</v>
      </c>
      <c r="C15" s="195" t="s">
        <v>187</v>
      </c>
      <c r="D15" s="19"/>
      <c r="E15" s="17"/>
      <c r="F15" s="17"/>
      <c r="G15" s="17"/>
      <c r="H15" s="18"/>
      <c r="I15" s="19"/>
      <c r="J15" s="18"/>
      <c r="K15" s="16"/>
      <c r="L15" s="27"/>
      <c r="M15" s="27"/>
      <c r="N15" s="27"/>
      <c r="O15" s="28"/>
    </row>
    <row r="16" spans="1:17" ht="29" customHeight="1" x14ac:dyDescent="0.4">
      <c r="A16" s="159"/>
      <c r="B16" s="176"/>
      <c r="C16" s="188"/>
      <c r="D16" s="20"/>
      <c r="E16" s="21"/>
      <c r="F16" s="29"/>
      <c r="G16" s="29"/>
      <c r="H16" s="30"/>
      <c r="I16" s="23"/>
      <c r="J16" s="30"/>
      <c r="K16" s="20"/>
      <c r="L16" s="29"/>
      <c r="M16" s="29"/>
      <c r="N16" s="29"/>
      <c r="O16" s="30"/>
    </row>
    <row r="17" spans="1:15" ht="29" customHeight="1" x14ac:dyDescent="0.4">
      <c r="A17" s="159"/>
      <c r="B17" s="177">
        <v>5</v>
      </c>
      <c r="C17" s="196" t="s">
        <v>188</v>
      </c>
      <c r="D17" s="16"/>
      <c r="E17" s="17"/>
      <c r="F17" s="27"/>
      <c r="G17" s="27"/>
      <c r="H17" s="28"/>
      <c r="I17" s="19"/>
      <c r="J17" s="18"/>
      <c r="K17" s="16"/>
      <c r="L17" s="27"/>
      <c r="M17" s="27"/>
      <c r="N17" s="27"/>
      <c r="O17" s="28"/>
    </row>
    <row r="18" spans="1:15" ht="29" customHeight="1" x14ac:dyDescent="0.4">
      <c r="A18" s="159"/>
      <c r="B18" s="178"/>
      <c r="C18" s="197"/>
      <c r="D18" s="40"/>
      <c r="E18" s="25"/>
      <c r="F18" s="41"/>
      <c r="G18" s="41"/>
      <c r="H18" s="42"/>
      <c r="I18" s="24"/>
      <c r="J18" s="42"/>
      <c r="K18" s="40"/>
      <c r="L18" s="41"/>
      <c r="M18" s="41"/>
      <c r="N18" s="41"/>
      <c r="O18" s="42"/>
    </row>
    <row r="19" spans="1:15" ht="29" hidden="1" customHeight="1" x14ac:dyDescent="0.4">
      <c r="A19" s="160" t="s">
        <v>162</v>
      </c>
      <c r="B19" s="177" t="s">
        <v>163</v>
      </c>
      <c r="C19" s="195" t="s">
        <v>189</v>
      </c>
      <c r="D19" s="16" t="str">
        <f>IF(HLOOKUP(MATCH($P$1,总课表!$C$3:$Z$3,0),总课表!$C$2:$Z$42,ROW(),0)=0,"",(HLOOKUP(MATCH($P$1,总课表!$C$3:$Z$3,0),总课表!$C$2:$Z$42,ROW(),0)))</f>
        <v/>
      </c>
      <c r="E19" s="27" t="str">
        <f>IF(HLOOKUP(MATCH($P$1,总课表!$AA$3:$AX$3,0),总课表!$AA$2:$AX$42,ROW(),0)=0,"",(HLOOKUP(MATCH($P$1,总课表!$AA$3:$AX$3,0),总课表!$AA$2:$AX$42,ROW(),0)))</f>
        <v/>
      </c>
      <c r="F19" s="27" t="str">
        <f>IF(HLOOKUP(MATCH($P$1,总课表!$AY$3:$BV$3,0),总课表!$AY$2:$BV$42,ROW(),0)=0,"",(HLOOKUP(MATCH($P$1,总课表!$AY$3:$BV$3,0),总课表!$AY$2:$BV$42,ROW(),0)))</f>
        <v/>
      </c>
      <c r="G19" s="27" t="str">
        <f>IF(HLOOKUP(MATCH($P$1,总课表!$BW$3:$CV$3,0),总课表!$BW$2:$CV$42,ROW(),0)=0,"",(HLOOKUP(MATCH($P$1,总课表!$BW$3:$CV$3,0),总课表!$BW$2:$CV$42,ROW(),0)))</f>
        <v/>
      </c>
      <c r="H19" s="28" t="str">
        <f>IF(HLOOKUP(MATCH($P$1,总课表!$CU$3:$DR$3,0),总课表!$CU$2:$DR$42,ROW(),0)=0,"",(HLOOKUP(MATCH($P$1,总课表!$CU$3:$DR$3,0),总课表!$CU$2:$DR$42,ROW(),0)))</f>
        <v/>
      </c>
      <c r="I19" s="16" t="str">
        <f>IF(HLOOKUP(MATCH($P$1,总课表!$DS$3:$EP$3,0),总课表!$DS$2:$EP$42,ROW(),0)=0,"",(HLOOKUP(MATCH($P$1,总课表!$DS$3:$EP$3,0),总课表!$DS$2:$EP$42,ROW(),0)))</f>
        <v/>
      </c>
      <c r="J19" s="28" t="str">
        <f>IF(HLOOKUP(MATCH($P$1,总课表!$EQ$3:$FN$3,0),总课表!$EQ$2:$FN$42,ROW(),0)=0,"",(HLOOKUP(MATCH($P$1,总课表!$EQ$3:$FN$3,0),总课表!$EQ$2:$FN$42,ROW(),0)))</f>
        <v/>
      </c>
      <c r="K19" s="16" t="str">
        <f>IF(HLOOKUP(MATCH($P$1,总课表!$FO$3:$GL$3,0),总课表!$FO$2:$GL$42,ROW(),0)=0,"",(HLOOKUP(MATCH($P$1,总课表!$FO$3:$GL$3,0),总课表!$FO$2:$GL$42,ROW(),0)))</f>
        <v/>
      </c>
      <c r="L19" s="27" t="str">
        <f>IF(HLOOKUP(MATCH($P$1,总课表!$GM$3:$HJ$3,0),总课表!$GM$2:$HJ$42,ROW(),0)=0,"",(HLOOKUP(MATCH($P$1,总课表!$GM$3:$HJ$3,0),总课表!$GM$2:$HJ$42,ROW(),0)))</f>
        <v/>
      </c>
      <c r="M19" s="27" t="str">
        <f>IF(HLOOKUP(MATCH($P$1,总课表!$HK$3:$IH$3,0),总课表!$HK$2:$IH$42,ROW(),0)=0,"",(HLOOKUP(MATCH($P$1,总课表!$HK$3:$IH$3,0),总课表!$HK$2:$IH$42,ROW(),0)))</f>
        <v/>
      </c>
      <c r="N19" s="27" t="str">
        <f>IF(HLOOKUP(MATCH($P$1,总课表!$II$3:$JF$3,0),总课表!$II$2:$JF$42,ROW(),0)=0,"",(HLOOKUP(MATCH($P$1,总课表!$II$3:$JF$3,0),总课表!$II$2:$JF$42,ROW(),0)))</f>
        <v/>
      </c>
      <c r="O19" s="28" t="str">
        <f>IF(HLOOKUP(MATCH($P$1,总课表!$JG$3:$KD$3,0),总课表!$JG$2:$KD$42,ROW(),0)=0,"",(HLOOKUP(MATCH($P$1,总课表!$JG$3:$KD$3,0),总课表!$JG$2:$KD$42,ROW(),0)))</f>
        <v/>
      </c>
    </row>
    <row r="20" spans="1:15" ht="29" hidden="1" customHeight="1" x14ac:dyDescent="0.4">
      <c r="A20" s="161"/>
      <c r="B20" s="170"/>
      <c r="C20" s="187"/>
      <c r="D20" s="20" t="str">
        <f>IF(HLOOKUP(MATCH($P$1,总课表!$C$3:$Z$3,0),总课表!$C$2:$Z$42,ROW(),0)=0,"",(HLOOKUP(MATCH($P$1,总课表!$C$3:$Z$3,0),总课表!$C$2:$Z$42,ROW(),0)))</f>
        <v/>
      </c>
      <c r="E20" s="21" t="str">
        <f>IF(HLOOKUP(MATCH($P$1,总课表!$AA$3:$AX$3,0),总课表!$AA$2:$AX$42,ROW(),0)=0,"",(HLOOKUP(MATCH($P$1,总课表!$AA$3:$AX$3,0),总课表!$AA$2:$AX$42,ROW(),0)))</f>
        <v/>
      </c>
      <c r="F20" s="29" t="str">
        <f>IF(HLOOKUP(MATCH($P$1,总课表!$AY$3:$BV$3,0),总课表!$AY$2:$BV$42,ROW(),0)=0,"",(HLOOKUP(MATCH($P$1,总课表!$AY$3:$BV$3,0),总课表!$AY$2:$BV$42,ROW(),0)))</f>
        <v/>
      </c>
      <c r="G20" s="29" t="str">
        <f>IF(HLOOKUP(MATCH($P$1,总课表!$BW$3:$CV$3,0),总课表!$BW$2:$CV$42,ROW(),0)=0,"",(HLOOKUP(MATCH($P$1,总课表!$BW$3:$CV$3,0),总课表!$BW$2:$CV$42,ROW(),0)))</f>
        <v/>
      </c>
      <c r="H20" s="30" t="str">
        <f>IF(HLOOKUP(MATCH($P$1,总课表!$CU$3:$DR$3,0),总课表!$CU$2:$DR$42,ROW(),0)=0,"",(HLOOKUP(MATCH($P$1,总课表!$CU$3:$DR$3,0),总课表!$CU$2:$DR$42,ROW(),0)))</f>
        <v/>
      </c>
      <c r="I20" s="23" t="str">
        <f>IF(HLOOKUP(MATCH($P$1,总课表!$DS$3:$EP$3,0),总课表!$DS$2:$EP$42,ROW(),0)=0,"",(HLOOKUP(MATCH($P$1,总课表!$DS$3:$EP$3,0),总课表!$DS$2:$EP$42,ROW(),0)))</f>
        <v/>
      </c>
      <c r="J20" s="30" t="str">
        <f>IF(HLOOKUP(MATCH($P$1,总课表!$EQ$3:$FN$3,0),总课表!$EQ$2:$FN$42,ROW(),0)=0,"",(HLOOKUP(MATCH($P$1,总课表!$EQ$3:$FN$3,0),总课表!$EQ$2:$FN$42,ROW(),0)))</f>
        <v/>
      </c>
      <c r="K20" s="20" t="str">
        <f>IF(HLOOKUP(MATCH($P$1,总课表!$FO$3:$GL$3,0),总课表!$FO$2:$GL$42,ROW(),0)=0,"",(HLOOKUP(MATCH($P$1,总课表!$FO$3:$GL$3,0),总课表!$FO$2:$GL$42,ROW(),0)))</f>
        <v/>
      </c>
      <c r="L20" s="29" t="str">
        <f>IF(HLOOKUP(MATCH($P$1,总课表!$GM$3:$HJ$3,0),总课表!$GM$2:$HJ$42,ROW(),0)=0,"",(HLOOKUP(MATCH($P$1,总课表!$GM$3:$HJ$3,0),总课表!$GM$2:$HJ$42,ROW(),0)))</f>
        <v/>
      </c>
      <c r="M20" s="29" t="str">
        <f>IF(HLOOKUP(MATCH($P$1,总课表!$HK$3:$IH$3,0),总课表!$HK$2:$IH$42,ROW(),0)=0,"",(HLOOKUP(MATCH($P$1,总课表!$HK$3:$IH$3,0),总课表!$HK$2:$IH$42,ROW(),0)))</f>
        <v/>
      </c>
      <c r="N20" s="29" t="str">
        <f>IF(HLOOKUP(MATCH($P$1,总课表!$II$3:$JF$3,0),总课表!$II$2:$JF$42,ROW(),0)=0,"",(HLOOKUP(MATCH($P$1,总课表!$II$3:$JF$3,0),总课表!$II$2:$JF$42,ROW(),0)))</f>
        <v/>
      </c>
      <c r="O20" s="30" t="str">
        <f>IF(HLOOKUP(MATCH($P$1,总课表!$JG$3:$KD$3,0),总课表!$JG$2:$KD$42,ROW(),0)=0,"",(HLOOKUP(MATCH($P$1,总课表!$JG$3:$KD$3,0),总课表!$JG$2:$KD$42,ROW(),0)))</f>
        <v/>
      </c>
    </row>
    <row r="21" spans="1:15" ht="29" customHeight="1" x14ac:dyDescent="0.4">
      <c r="A21" s="161"/>
      <c r="B21" s="179">
        <v>1</v>
      </c>
      <c r="C21" s="186" t="s">
        <v>190</v>
      </c>
      <c r="D21" s="19"/>
      <c r="E21" s="17"/>
      <c r="F21" s="17"/>
      <c r="G21" s="17"/>
      <c r="H21" s="18"/>
      <c r="I21" s="19"/>
      <c r="J21" s="18"/>
      <c r="K21" s="43" t="s">
        <v>34</v>
      </c>
      <c r="L21" s="27"/>
      <c r="M21" s="27"/>
      <c r="N21" s="27"/>
      <c r="O21" s="28"/>
    </row>
    <row r="22" spans="1:15" ht="29" customHeight="1" x14ac:dyDescent="0.4">
      <c r="A22" s="161"/>
      <c r="B22" s="170"/>
      <c r="C22" s="187"/>
      <c r="D22" s="20"/>
      <c r="E22" s="21"/>
      <c r="F22" s="29"/>
      <c r="G22" s="29"/>
      <c r="H22" s="30"/>
      <c r="I22" s="23"/>
      <c r="J22" s="30"/>
      <c r="K22" s="44" t="s">
        <v>41</v>
      </c>
      <c r="L22" s="29"/>
      <c r="M22" s="29"/>
      <c r="N22" s="29"/>
      <c r="O22" s="30"/>
    </row>
    <row r="23" spans="1:15" ht="29" customHeight="1" x14ac:dyDescent="0.4">
      <c r="A23" s="161"/>
      <c r="B23" s="179">
        <v>2</v>
      </c>
      <c r="C23" s="186" t="s">
        <v>191</v>
      </c>
      <c r="D23" s="19"/>
      <c r="E23" s="17"/>
      <c r="F23" s="17"/>
      <c r="G23" s="17"/>
      <c r="H23" s="18"/>
      <c r="I23" s="19"/>
      <c r="J23" s="18"/>
      <c r="K23" s="43" t="s">
        <v>34</v>
      </c>
      <c r="L23" s="27"/>
      <c r="M23" s="27"/>
      <c r="N23" s="27"/>
      <c r="O23" s="28"/>
    </row>
    <row r="24" spans="1:15" ht="29" customHeight="1" x14ac:dyDescent="0.4">
      <c r="A24" s="161"/>
      <c r="B24" s="170"/>
      <c r="C24" s="187"/>
      <c r="D24" s="20"/>
      <c r="E24" s="21"/>
      <c r="F24" s="29"/>
      <c r="G24" s="29"/>
      <c r="H24" s="30"/>
      <c r="I24" s="23"/>
      <c r="J24" s="30"/>
      <c r="K24" s="44" t="s">
        <v>41</v>
      </c>
      <c r="L24" s="29"/>
      <c r="M24" s="29"/>
      <c r="N24" s="29"/>
      <c r="O24" s="30"/>
    </row>
    <row r="25" spans="1:15" ht="29" customHeight="1" x14ac:dyDescent="0.4">
      <c r="A25" s="161"/>
      <c r="B25" s="173" t="s">
        <v>161</v>
      </c>
      <c r="C25" s="195" t="s">
        <v>192</v>
      </c>
      <c r="D25" s="16"/>
      <c r="E25" s="17"/>
      <c r="F25" s="27"/>
      <c r="G25" s="27"/>
      <c r="H25" s="28"/>
      <c r="I25" s="19"/>
      <c r="J25" s="28"/>
      <c r="K25" s="43" t="str">
        <f>IF(HLOOKUP(MATCH($P$1,总课表!$FO$3:$GL$3,0),总课表!$FO$2:$GL$42,ROW(),0)=0,"",(HLOOKUP(MATCH($P$1,总课表!$FO$3:$GL$3,0),总课表!$FO$2:$GL$42,ROW(),0)))</f>
        <v/>
      </c>
      <c r="L25" s="27"/>
      <c r="M25" s="27"/>
      <c r="N25" s="27"/>
      <c r="O25" s="28"/>
    </row>
    <row r="26" spans="1:15" ht="29" customHeight="1" x14ac:dyDescent="0.4">
      <c r="A26" s="161"/>
      <c r="B26" s="174"/>
      <c r="C26" s="188"/>
      <c r="D26" s="20"/>
      <c r="E26" s="21"/>
      <c r="F26" s="29"/>
      <c r="G26" s="29"/>
      <c r="H26" s="30"/>
      <c r="I26" s="23"/>
      <c r="J26" s="30"/>
      <c r="K26" s="44" t="str">
        <f>IF(HLOOKUP(MATCH($P$1,总课表!$FO$3:$GL$3,0),总课表!$FO$2:$GL$42,ROW(),0)=0,"",(HLOOKUP(MATCH($P$1,总课表!$FO$3:$GL$3,0),总课表!$FO$2:$GL$42,ROW(),0)))</f>
        <v/>
      </c>
      <c r="L26" s="29"/>
      <c r="M26" s="29"/>
      <c r="N26" s="29"/>
      <c r="O26" s="30"/>
    </row>
    <row r="27" spans="1:15" ht="29" customHeight="1" x14ac:dyDescent="0.4">
      <c r="A27" s="161"/>
      <c r="B27" s="180">
        <v>3</v>
      </c>
      <c r="C27" s="198" t="s">
        <v>193</v>
      </c>
      <c r="D27" s="16"/>
      <c r="E27" s="17"/>
      <c r="F27" s="27"/>
      <c r="G27" s="27"/>
      <c r="H27" s="28"/>
      <c r="I27" s="19"/>
      <c r="J27" s="28"/>
      <c r="K27" s="43" t="s">
        <v>26</v>
      </c>
      <c r="L27" s="27"/>
      <c r="M27" s="27"/>
      <c r="N27" s="27"/>
      <c r="O27" s="28"/>
    </row>
    <row r="28" spans="1:15" ht="29" customHeight="1" x14ac:dyDescent="0.4">
      <c r="A28" s="162"/>
      <c r="B28" s="177"/>
      <c r="C28" s="195"/>
      <c r="D28" s="20"/>
      <c r="E28" s="21"/>
      <c r="F28" s="29"/>
      <c r="G28" s="29"/>
      <c r="H28" s="30"/>
      <c r="I28" s="23"/>
      <c r="J28" s="30"/>
      <c r="K28" s="44" t="s">
        <v>31</v>
      </c>
      <c r="L28" s="29"/>
      <c r="M28" s="29"/>
      <c r="N28" s="29"/>
      <c r="O28" s="30"/>
    </row>
    <row r="29" spans="1:15" ht="29" customHeight="1" x14ac:dyDescent="0.4">
      <c r="A29" s="163"/>
      <c r="B29" s="168">
        <v>4</v>
      </c>
      <c r="C29" s="195" t="s">
        <v>194</v>
      </c>
      <c r="D29" s="16"/>
      <c r="E29" s="27"/>
      <c r="F29" s="27"/>
      <c r="G29" s="27"/>
      <c r="H29" s="45"/>
      <c r="I29" s="16"/>
      <c r="J29" s="28"/>
      <c r="K29" s="43" t="s">
        <v>26</v>
      </c>
      <c r="L29" s="27"/>
      <c r="M29" s="27"/>
      <c r="N29" s="27"/>
      <c r="O29" s="28"/>
    </row>
    <row r="30" spans="1:15" ht="29" customHeight="1" x14ac:dyDescent="0.4">
      <c r="A30" s="162"/>
      <c r="B30" s="181"/>
      <c r="C30" s="199"/>
      <c r="D30" s="40"/>
      <c r="E30" s="25"/>
      <c r="F30" s="41"/>
      <c r="G30" s="41"/>
      <c r="H30" s="42"/>
      <c r="I30" s="24"/>
      <c r="J30" s="42"/>
      <c r="K30" s="46" t="s">
        <v>31</v>
      </c>
      <c r="L30" s="41"/>
      <c r="M30" s="41"/>
      <c r="N30" s="41"/>
      <c r="O30" s="42"/>
    </row>
    <row r="31" spans="1:15" ht="29" customHeight="1" x14ac:dyDescent="0.4">
      <c r="A31" s="164" t="s">
        <v>195</v>
      </c>
      <c r="B31" s="168" t="s">
        <v>165</v>
      </c>
      <c r="C31" s="195" t="s">
        <v>196</v>
      </c>
      <c r="D31" s="16"/>
      <c r="E31" s="27"/>
      <c r="F31" s="27"/>
      <c r="G31" s="27"/>
      <c r="H31" s="28"/>
      <c r="I31" s="16"/>
      <c r="J31" s="47" t="s">
        <v>66</v>
      </c>
      <c r="K31" s="250" t="s">
        <v>230</v>
      </c>
      <c r="L31" s="250" t="s">
        <v>230</v>
      </c>
      <c r="M31" s="250" t="s">
        <v>230</v>
      </c>
      <c r="N31" s="27"/>
      <c r="O31" s="28"/>
    </row>
    <row r="32" spans="1:15" ht="29" customHeight="1" x14ac:dyDescent="0.4">
      <c r="A32" s="165"/>
      <c r="B32" s="182"/>
      <c r="C32" s="187"/>
      <c r="D32" s="20"/>
      <c r="E32" s="21"/>
      <c r="F32" s="29"/>
      <c r="G32" s="29"/>
      <c r="H32" s="30"/>
      <c r="I32" s="23"/>
      <c r="J32" s="48" t="s">
        <v>69</v>
      </c>
      <c r="K32" s="251"/>
      <c r="L32" s="251"/>
      <c r="M32" s="251"/>
      <c r="N32" s="29"/>
      <c r="O32" s="30"/>
    </row>
    <row r="33" spans="1:15" ht="29" customHeight="1" x14ac:dyDescent="0.4">
      <c r="A33" s="165"/>
      <c r="B33" s="183" t="s">
        <v>197</v>
      </c>
      <c r="C33" s="186" t="s">
        <v>198</v>
      </c>
      <c r="D33" s="19"/>
      <c r="E33" s="17"/>
      <c r="F33" s="17"/>
      <c r="G33" s="17"/>
      <c r="H33" s="18"/>
      <c r="I33" s="19"/>
      <c r="J33" s="49" t="s">
        <v>76</v>
      </c>
      <c r="K33" s="252"/>
      <c r="L33" s="252"/>
      <c r="M33" s="252"/>
      <c r="N33" s="27"/>
      <c r="O33" s="28"/>
    </row>
    <row r="34" spans="1:15" ht="29" customHeight="1" x14ac:dyDescent="0.4">
      <c r="A34" s="165"/>
      <c r="B34" s="182"/>
      <c r="C34" s="187"/>
      <c r="D34" s="20"/>
      <c r="E34" s="21"/>
      <c r="F34" s="29"/>
      <c r="G34" s="29"/>
      <c r="H34" s="30"/>
      <c r="I34" s="23"/>
      <c r="J34" s="48" t="s">
        <v>80</v>
      </c>
      <c r="K34" s="251"/>
      <c r="L34" s="251"/>
      <c r="M34" s="251"/>
      <c r="N34" s="29"/>
      <c r="O34" s="30"/>
    </row>
    <row r="35" spans="1:15" ht="29" customHeight="1" x14ac:dyDescent="0.4">
      <c r="A35" s="165"/>
      <c r="B35" s="168" t="s">
        <v>199</v>
      </c>
      <c r="C35" s="195" t="s">
        <v>200</v>
      </c>
      <c r="D35" s="19"/>
      <c r="E35" s="17"/>
      <c r="F35" s="17"/>
      <c r="G35" s="17"/>
      <c r="H35" s="18"/>
      <c r="I35" s="19"/>
      <c r="J35" s="49" t="s">
        <v>71</v>
      </c>
      <c r="K35" s="252"/>
      <c r="L35" s="252"/>
      <c r="M35" s="252"/>
      <c r="N35" s="27"/>
      <c r="O35" s="28"/>
    </row>
    <row r="36" spans="1:15" ht="29" customHeight="1" x14ac:dyDescent="0.4">
      <c r="A36" s="166"/>
      <c r="B36" s="184"/>
      <c r="C36" s="188"/>
      <c r="D36" s="20"/>
      <c r="E36" s="21"/>
      <c r="F36" s="29"/>
      <c r="G36" s="29"/>
      <c r="H36" s="22"/>
      <c r="I36" s="23"/>
      <c r="J36" s="48" t="s">
        <v>74</v>
      </c>
      <c r="K36" s="251"/>
      <c r="L36" s="251"/>
      <c r="M36" s="251"/>
      <c r="N36" s="29"/>
      <c r="O36" s="30"/>
    </row>
    <row r="37" spans="1:15" ht="29" customHeight="1" x14ac:dyDescent="0.4">
      <c r="A37" s="165"/>
      <c r="B37" s="168" t="s">
        <v>201</v>
      </c>
      <c r="C37" s="195" t="s">
        <v>202</v>
      </c>
      <c r="D37" s="16"/>
      <c r="E37" s="17"/>
      <c r="F37" s="27"/>
      <c r="G37" s="27"/>
      <c r="H37" s="28"/>
      <c r="I37" s="19"/>
      <c r="J37" s="49" t="s">
        <v>66</v>
      </c>
      <c r="K37" s="252"/>
      <c r="L37" s="252"/>
      <c r="M37" s="252"/>
      <c r="N37" s="27"/>
      <c r="O37" s="28"/>
    </row>
    <row r="38" spans="1:15" ht="29" customHeight="1" x14ac:dyDescent="0.4">
      <c r="A38" s="166"/>
      <c r="B38" s="184"/>
      <c r="C38" s="188"/>
      <c r="D38" s="20"/>
      <c r="E38" s="21"/>
      <c r="F38" s="29"/>
      <c r="G38" s="29"/>
      <c r="H38" s="22"/>
      <c r="I38" s="23"/>
      <c r="J38" s="48" t="s">
        <v>69</v>
      </c>
      <c r="K38" s="251"/>
      <c r="L38" s="251"/>
      <c r="M38" s="251"/>
      <c r="N38" s="29"/>
      <c r="O38" s="30"/>
    </row>
    <row r="39" spans="1:15" ht="29" customHeight="1" x14ac:dyDescent="0.4">
      <c r="A39" s="165"/>
      <c r="B39" s="168" t="s">
        <v>203</v>
      </c>
      <c r="C39" s="195" t="s">
        <v>204</v>
      </c>
      <c r="D39" s="16"/>
      <c r="E39" s="27"/>
      <c r="F39" s="27"/>
      <c r="G39" s="27"/>
      <c r="H39" s="28"/>
      <c r="I39" s="16"/>
      <c r="J39" s="47" t="s">
        <v>76</v>
      </c>
      <c r="K39" s="252"/>
      <c r="L39" s="252"/>
      <c r="M39" s="252"/>
      <c r="N39" s="27"/>
      <c r="O39" s="28"/>
    </row>
    <row r="40" spans="1:15" ht="29" customHeight="1" x14ac:dyDescent="0.4">
      <c r="A40" s="166"/>
      <c r="B40" s="185"/>
      <c r="C40" s="200"/>
      <c r="D40" s="50"/>
      <c r="E40" s="51"/>
      <c r="F40" s="52"/>
      <c r="G40" s="52"/>
      <c r="H40" s="53"/>
      <c r="I40" s="54"/>
      <c r="J40" s="55" t="s">
        <v>80</v>
      </c>
      <c r="K40" s="253"/>
      <c r="L40" s="253"/>
      <c r="M40" s="253"/>
      <c r="N40" s="52"/>
      <c r="O40" s="56"/>
    </row>
    <row r="42" spans="1:15" ht="30" customHeight="1" x14ac:dyDescent="0.4">
      <c r="A42" s="5" t="s">
        <v>205</v>
      </c>
      <c r="B42" s="57" t="s">
        <v>206</v>
      </c>
      <c r="C42" s="5"/>
      <c r="D42" s="5" t="s">
        <v>207</v>
      </c>
    </row>
    <row r="43" spans="1:15" ht="30" customHeight="1" x14ac:dyDescent="0.4">
      <c r="A43" s="5">
        <v>101</v>
      </c>
      <c r="B43" s="57" t="s">
        <v>208</v>
      </c>
      <c r="C43" s="5"/>
      <c r="D43" s="5">
        <v>1</v>
      </c>
    </row>
    <row r="44" spans="1:15" ht="30" customHeight="1" x14ac:dyDescent="0.4">
      <c r="A44" s="5">
        <v>102</v>
      </c>
      <c r="B44" s="57" t="s">
        <v>209</v>
      </c>
      <c r="C44" s="5"/>
      <c r="D44" s="5">
        <v>2</v>
      </c>
    </row>
    <row r="45" spans="1:15" ht="30" customHeight="1" x14ac:dyDescent="0.4">
      <c r="A45" s="5">
        <v>103</v>
      </c>
      <c r="B45" s="57" t="s">
        <v>210</v>
      </c>
      <c r="C45" s="5"/>
      <c r="D45" s="5">
        <v>3</v>
      </c>
    </row>
    <row r="46" spans="1:15" ht="30" customHeight="1" x14ac:dyDescent="0.4">
      <c r="A46" s="5">
        <v>104</v>
      </c>
      <c r="B46" s="57" t="s">
        <v>211</v>
      </c>
      <c r="C46" s="5"/>
      <c r="D46" s="5">
        <v>4</v>
      </c>
    </row>
    <row r="47" spans="1:15" ht="30" customHeight="1" x14ac:dyDescent="0.4">
      <c r="A47" s="5">
        <v>201</v>
      </c>
      <c r="B47" s="57" t="s">
        <v>212</v>
      </c>
      <c r="C47" s="5"/>
      <c r="D47" s="5">
        <v>5</v>
      </c>
    </row>
    <row r="48" spans="1:15" ht="30" customHeight="1" x14ac:dyDescent="0.4">
      <c r="A48" s="5">
        <v>202</v>
      </c>
      <c r="B48" s="57" t="s">
        <v>213</v>
      </c>
      <c r="C48" s="5"/>
      <c r="D48" s="5">
        <v>6</v>
      </c>
    </row>
    <row r="49" spans="1:4" ht="30" customHeight="1" x14ac:dyDescent="0.4">
      <c r="A49" s="5">
        <v>203</v>
      </c>
      <c r="B49" s="57" t="s">
        <v>214</v>
      </c>
      <c r="C49" s="5"/>
      <c r="D49" s="5">
        <v>7</v>
      </c>
    </row>
    <row r="50" spans="1:4" ht="30" customHeight="1" x14ac:dyDescent="0.4">
      <c r="A50" s="5">
        <v>204</v>
      </c>
      <c r="B50" s="57" t="s">
        <v>215</v>
      </c>
      <c r="D50" s="5">
        <v>8</v>
      </c>
    </row>
    <row r="51" spans="1:4" ht="30" customHeight="1" x14ac:dyDescent="0.4">
      <c r="A51" s="5">
        <v>205</v>
      </c>
      <c r="B51" s="57" t="s">
        <v>216</v>
      </c>
      <c r="D51" s="5">
        <v>9</v>
      </c>
    </row>
    <row r="52" spans="1:4" ht="30" customHeight="1" x14ac:dyDescent="0.4">
      <c r="A52" s="5">
        <v>206</v>
      </c>
      <c r="B52" s="57" t="s">
        <v>217</v>
      </c>
      <c r="D52" s="5">
        <v>10</v>
      </c>
    </row>
    <row r="53" spans="1:4" ht="30" customHeight="1" x14ac:dyDescent="0.4">
      <c r="A53" s="5">
        <v>207</v>
      </c>
      <c r="B53" s="57" t="s">
        <v>218</v>
      </c>
      <c r="D53" s="5">
        <v>11</v>
      </c>
    </row>
    <row r="54" spans="1:4" ht="30" customHeight="1" x14ac:dyDescent="0.4">
      <c r="A54" s="5">
        <v>208</v>
      </c>
      <c r="B54" s="57" t="s">
        <v>219</v>
      </c>
      <c r="D54" s="5">
        <v>12</v>
      </c>
    </row>
    <row r="55" spans="1:4" ht="30" customHeight="1" x14ac:dyDescent="0.4">
      <c r="A55" s="5">
        <v>209</v>
      </c>
      <c r="B55" s="57" t="s">
        <v>220</v>
      </c>
      <c r="D55" s="5">
        <v>13</v>
      </c>
    </row>
    <row r="56" spans="1:4" ht="30" customHeight="1" x14ac:dyDescent="0.4">
      <c r="A56" s="5">
        <v>210</v>
      </c>
      <c r="B56" s="57" t="s">
        <v>221</v>
      </c>
      <c r="D56" s="5">
        <v>14</v>
      </c>
    </row>
    <row r="57" spans="1:4" ht="30" customHeight="1" x14ac:dyDescent="0.4">
      <c r="A57" s="5">
        <v>211</v>
      </c>
      <c r="B57" s="57" t="s">
        <v>222</v>
      </c>
      <c r="D57" s="5">
        <v>15</v>
      </c>
    </row>
    <row r="58" spans="1:4" ht="30" customHeight="1" x14ac:dyDescent="0.4">
      <c r="A58" s="5" t="s">
        <v>231</v>
      </c>
      <c r="B58" s="57" t="s">
        <v>17</v>
      </c>
      <c r="D58" s="5">
        <v>16</v>
      </c>
    </row>
    <row r="59" spans="1:4" ht="30" customHeight="1" x14ac:dyDescent="0.4">
      <c r="A59" s="5" t="s">
        <v>232</v>
      </c>
      <c r="B59" s="57" t="s">
        <v>18</v>
      </c>
      <c r="C59" s="5"/>
      <c r="D59" s="5">
        <v>17</v>
      </c>
    </row>
    <row r="60" spans="1:4" ht="30" customHeight="1" x14ac:dyDescent="0.4">
      <c r="A60" s="5" t="s">
        <v>233</v>
      </c>
      <c r="B60" s="57" t="s">
        <v>19</v>
      </c>
      <c r="C60" s="5"/>
      <c r="D60" s="5">
        <v>18</v>
      </c>
    </row>
    <row r="61" spans="1:4" ht="30" customHeight="1" x14ac:dyDescent="0.4">
      <c r="A61" s="5" t="s">
        <v>234</v>
      </c>
      <c r="B61" s="57" t="s">
        <v>20</v>
      </c>
      <c r="C61" s="5"/>
      <c r="D61" s="5">
        <v>19</v>
      </c>
    </row>
    <row r="62" spans="1:4" ht="30" customHeight="1" x14ac:dyDescent="0.4">
      <c r="A62" s="5" t="s">
        <v>235</v>
      </c>
      <c r="B62" s="57" t="s">
        <v>21</v>
      </c>
      <c r="C62" s="5"/>
      <c r="D62" s="5">
        <v>20</v>
      </c>
    </row>
    <row r="63" spans="1:4" ht="30" customHeight="1" x14ac:dyDescent="0.4">
      <c r="A63" s="5" t="s">
        <v>236</v>
      </c>
      <c r="B63" s="57" t="s">
        <v>22</v>
      </c>
      <c r="C63" s="5"/>
      <c r="D63" s="5">
        <v>21</v>
      </c>
    </row>
    <row r="64" spans="1:4" ht="30" customHeight="1" x14ac:dyDescent="0.4">
      <c r="A64" s="5" t="s">
        <v>237</v>
      </c>
      <c r="B64" s="57" t="s">
        <v>23</v>
      </c>
      <c r="C64" s="5"/>
      <c r="D64" s="5">
        <v>22</v>
      </c>
    </row>
    <row r="65" spans="1:4" ht="30" customHeight="1" x14ac:dyDescent="0.4">
      <c r="A65" s="5" t="s">
        <v>238</v>
      </c>
      <c r="B65" s="57" t="s">
        <v>24</v>
      </c>
      <c r="D65" s="5">
        <v>23</v>
      </c>
    </row>
    <row r="66" spans="1:4" ht="30" customHeight="1" x14ac:dyDescent="0.4">
      <c r="A66" s="5" t="s">
        <v>239</v>
      </c>
      <c r="B66" s="57" t="s">
        <v>25</v>
      </c>
      <c r="D66" s="5">
        <v>24</v>
      </c>
    </row>
    <row r="67" spans="1:4" ht="30" customHeight="1" x14ac:dyDescent="0.4">
      <c r="A67" s="5"/>
      <c r="B67" s="57"/>
      <c r="D67" s="5"/>
    </row>
    <row r="68" spans="1:4" ht="30" customHeight="1" x14ac:dyDescent="0.4">
      <c r="A68" s="5"/>
      <c r="B68" s="57"/>
      <c r="D68" s="5"/>
    </row>
    <row r="69" spans="1:4" ht="30" customHeight="1" x14ac:dyDescent="0.4">
      <c r="A69" s="5"/>
      <c r="B69" s="57"/>
      <c r="D69" s="5"/>
    </row>
    <row r="70" spans="1:4" ht="30" customHeight="1" x14ac:dyDescent="0.4">
      <c r="A70" s="5"/>
      <c r="B70" s="57"/>
      <c r="D70" s="5"/>
    </row>
  </sheetData>
  <protectedRanges>
    <protectedRange sqref="P1" name="区域1"/>
  </protectedRanges>
  <mergeCells count="48">
    <mergeCell ref="K31:K40"/>
    <mergeCell ref="L31:L40"/>
    <mergeCell ref="M31:M40"/>
    <mergeCell ref="D11:O12"/>
    <mergeCell ref="C31:C32"/>
    <mergeCell ref="C33:C34"/>
    <mergeCell ref="C35:C36"/>
    <mergeCell ref="C37:C38"/>
    <mergeCell ref="C39:C40"/>
    <mergeCell ref="B33:B34"/>
    <mergeCell ref="B35:B36"/>
    <mergeCell ref="B37:B38"/>
    <mergeCell ref="B39:B40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A31:A40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A1:O1"/>
    <mergeCell ref="A2:B2"/>
    <mergeCell ref="A3:A6"/>
    <mergeCell ref="A7:A18"/>
    <mergeCell ref="A19:A30"/>
    <mergeCell ref="C27:C28"/>
    <mergeCell ref="C29:C30"/>
  </mergeCells>
  <phoneticPr fontId="17" type="noConversion"/>
  <dataValidations count="2">
    <dataValidation type="list" allowBlank="1" showInputMessage="1" showErrorMessage="1" sqref="I1:O1" xr:uid="{00000000-0002-0000-0400-000000000000}">
      <formula1>$A$43:$A$65</formula1>
    </dataValidation>
    <dataValidation type="list" allowBlank="1" showInputMessage="1" showErrorMessage="1" sqref="P1" xr:uid="{00000000-0002-0000-0400-000001000000}">
      <formula1>$A$43:$A$66</formula1>
    </dataValidation>
  </dataValidation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74"/>
  <sheetViews>
    <sheetView workbookViewId="0">
      <pane ySplit="2" topLeftCell="A3" activePane="bottomLeft" state="frozen"/>
      <selection pane="bottomLeft" activeCell="R33" sqref="R33"/>
    </sheetView>
  </sheetViews>
  <sheetFormatPr defaultColWidth="9" defaultRowHeight="15.75" x14ac:dyDescent="0.4"/>
  <cols>
    <col min="1" max="1" width="11" style="9" customWidth="1"/>
    <col min="2" max="5" width="6.625" style="9" hidden="1" customWidth="1"/>
    <col min="6" max="16" width="6.625" style="9" customWidth="1"/>
    <col min="17" max="16384" width="9" style="9"/>
  </cols>
  <sheetData>
    <row r="1" spans="1:16" ht="33" customHeight="1" x14ac:dyDescent="0.4">
      <c r="A1" s="254" t="s">
        <v>240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6" ht="21" customHeight="1" x14ac:dyDescent="0.4">
      <c r="A2" s="1" t="s">
        <v>241</v>
      </c>
      <c r="B2" s="1"/>
      <c r="C2" s="1"/>
      <c r="D2" s="1"/>
      <c r="E2" s="1"/>
      <c r="F2" s="1">
        <v>101</v>
      </c>
      <c r="G2" s="1">
        <v>102</v>
      </c>
      <c r="H2" s="1">
        <v>103</v>
      </c>
      <c r="I2" s="1">
        <v>104</v>
      </c>
      <c r="J2" s="1">
        <v>105</v>
      </c>
      <c r="K2" s="1">
        <v>106</v>
      </c>
      <c r="L2" s="1">
        <v>107</v>
      </c>
      <c r="M2" s="1">
        <v>108</v>
      </c>
      <c r="N2" s="1">
        <v>109</v>
      </c>
      <c r="O2" s="1">
        <v>110</v>
      </c>
      <c r="P2" s="1">
        <v>111</v>
      </c>
    </row>
    <row r="3" spans="1:16" ht="20.100000000000001" customHeight="1" x14ac:dyDescent="0.4">
      <c r="A3" s="1" t="s">
        <v>26</v>
      </c>
      <c r="B3" s="1" t="e">
        <f>COUNTIF(总课表!#REF!,A3)+COUNTIF(总课表!#REF!,A3)+COUNTIF(总课表!#REF!,A3)+COUNTIF(总课表!#REF!,A3)+COUNTIF(总课表!#REF!,A3)+COUNTIF(总课表!#REF!,A3)</f>
        <v>#REF!</v>
      </c>
      <c r="C3" s="1" t="e">
        <f>COUNTIF(总课表!#REF!,A3)+COUNTIF(总课表!#REF!,A3)+COUNTIF(总课表!#REF!,A3)+COUNTIF(总课表!#REF!,A3)+COUNTIF(总课表!#REF!,A3)+COUNTIF(总课表!#REF!,A3)</f>
        <v>#REF!</v>
      </c>
      <c r="D3" s="1" t="e">
        <f>COUNTIF(总课表!#REF!,A3)+COUNTIF(总课表!#REF!,A3)+COUNTIF(总课表!#REF!,A3)+COUNTIF(总课表!#REF!,A3)+COUNTIF(总课表!#REF!,A3)+COUNTIF(总课表!#REF!,A3)</f>
        <v>#REF!</v>
      </c>
      <c r="E3" s="1" t="e">
        <f>COUNTIF(总课表!#REF!,A3)+COUNTIF(总课表!#REF!,A3)+COUNTIF(总课表!#REF!,A3)+COUNTIF(总课表!#REF!,A3)+COUNTIF(总课表!#REF!,A3)+COUNTIF(总课表!#REF!,A3)</f>
        <v>#REF!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0.100000000000001" customHeight="1" x14ac:dyDescent="0.4">
      <c r="A4" s="1" t="s">
        <v>34</v>
      </c>
      <c r="B4" s="1" t="e">
        <f>COUNTIF(总课表!#REF!,A4)+COUNTIF(总课表!#REF!,A4)+COUNTIF(总课表!#REF!,A4)+COUNTIF(总课表!#REF!,A4)+COUNTIF(总课表!#REF!,A4)+COUNTIF(总课表!#REF!,A4)</f>
        <v>#REF!</v>
      </c>
      <c r="C4" s="1" t="e">
        <f>COUNTIF(总课表!#REF!,A4)+COUNTIF(总课表!#REF!,A4)+COUNTIF(总课表!#REF!,A4)+COUNTIF(总课表!#REF!,A4)+COUNTIF(总课表!#REF!,A4)+COUNTIF(总课表!#REF!,A4)</f>
        <v>#REF!</v>
      </c>
      <c r="D4" s="1" t="e">
        <f>COUNTIF(总课表!#REF!,A4)+COUNTIF(总课表!#REF!,A4)+COUNTIF(总课表!#REF!,A4)+COUNTIF(总课表!#REF!,A4)+COUNTIF(总课表!#REF!,A4)+COUNTIF(总课表!#REF!,A4)</f>
        <v>#REF!</v>
      </c>
      <c r="E4" s="1" t="e">
        <f>COUNTIF(总课表!#REF!,A4)+COUNTIF(总课表!#REF!,A4)+COUNTIF(总课表!#REF!,A4)+COUNTIF(总课表!#REF!,A4)+COUNTIF(总课表!#REF!,A4)+COUNTIF(总课表!#REF!,A4)</f>
        <v>#REF!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0.100000000000001" customHeight="1" x14ac:dyDescent="0.4">
      <c r="A5" s="1" t="s">
        <v>42</v>
      </c>
      <c r="B5" s="1" t="e">
        <f>COUNTIF(总课表!#REF!,A5)+COUNTIF(总课表!#REF!,A5)+COUNTIF(总课表!#REF!,A5)+COUNTIF(总课表!#REF!,A5)+COUNTIF(总课表!#REF!,A5)+COUNTIF(总课表!#REF!,A5)</f>
        <v>#REF!</v>
      </c>
      <c r="C5" s="1" t="e">
        <f>COUNTIF(总课表!#REF!,A5)+COUNTIF(总课表!#REF!,A5)+COUNTIF(总课表!#REF!,A5)+COUNTIF(总课表!#REF!,A5)+COUNTIF(总课表!#REF!,A5)+COUNTIF(总课表!#REF!,A5)</f>
        <v>#REF!</v>
      </c>
      <c r="D5" s="1" t="e">
        <f>COUNTIF(总课表!#REF!,A5)+COUNTIF(总课表!#REF!,A5)+COUNTIF(总课表!#REF!,A5)+COUNTIF(总课表!#REF!,A5)+COUNTIF(总课表!#REF!,A5)+COUNTIF(总课表!#REF!,A5)</f>
        <v>#REF!</v>
      </c>
      <c r="E5" s="1" t="e">
        <f>COUNTIF(总课表!#REF!,A5)+COUNTIF(总课表!#REF!,A5)+COUNTIF(总课表!#REF!,A5)+COUNTIF(总课表!#REF!,A5)+COUNTIF(总课表!#REF!,A5)+COUNTIF(总课表!#REF!,A5)</f>
        <v>#REF!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0.100000000000001" customHeight="1" x14ac:dyDescent="0.4">
      <c r="A6" s="1" t="s">
        <v>54</v>
      </c>
      <c r="B6" s="1" t="e">
        <f>COUNTIF(总课表!#REF!,A6)+COUNTIF(总课表!#REF!,A6)+COUNTIF(总课表!#REF!,A6)+COUNTIF(总课表!#REF!,A6)+COUNTIF(总课表!#REF!,A6)+COUNTIF(总课表!#REF!,A6)</f>
        <v>#REF!</v>
      </c>
      <c r="C6" s="1" t="e">
        <f>COUNTIF(总课表!#REF!,A6)+COUNTIF(总课表!#REF!,A6)+COUNTIF(总课表!#REF!,A6)+COUNTIF(总课表!#REF!,A6)+COUNTIF(总课表!#REF!,A6)+COUNTIF(总课表!#REF!,A6)</f>
        <v>#REF!</v>
      </c>
      <c r="D6" s="1" t="e">
        <f>COUNTIF(总课表!#REF!,A6)+COUNTIF(总课表!#REF!,A6)+COUNTIF(总课表!#REF!,A6)+COUNTIF(总课表!#REF!,A6)+COUNTIF(总课表!#REF!,A6)+COUNTIF(总课表!#REF!,A6)</f>
        <v>#REF!</v>
      </c>
      <c r="E6" s="1" t="e">
        <f>COUNTIF(总课表!#REF!,A6)+COUNTIF(总课表!#REF!,A6)+COUNTIF(总课表!#REF!,A6)+COUNTIF(总课表!#REF!,A6)+COUNTIF(总课表!#REF!,A6)+COUNTIF(总课表!#REF!,A6)</f>
        <v>#REF!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0.100000000000001" customHeight="1" x14ac:dyDescent="0.4">
      <c r="A7" s="1" t="s">
        <v>58</v>
      </c>
      <c r="B7" s="1" t="e">
        <f>COUNTIF(总课表!#REF!,A7)+COUNTIF(总课表!#REF!,A7)+COUNTIF(总课表!#REF!,A7)+COUNTIF(总课表!#REF!,A7)+COUNTIF(总课表!#REF!,A7)+COUNTIF(总课表!#REF!,A7)</f>
        <v>#REF!</v>
      </c>
      <c r="C7" s="1" t="e">
        <f>COUNTIF(总课表!#REF!,A7)+COUNTIF(总课表!#REF!,A7)+COUNTIF(总课表!#REF!,A7)+COUNTIF(总课表!#REF!,A7)+COUNTIF(总课表!#REF!,A7)+COUNTIF(总课表!#REF!,A7)</f>
        <v>#REF!</v>
      </c>
      <c r="D7" s="1" t="e">
        <f>COUNTIF(总课表!#REF!,A7)+COUNTIF(总课表!#REF!,A7)+COUNTIF(总课表!#REF!,A7)+COUNTIF(总课表!#REF!,A7)+COUNTIF(总课表!#REF!,A7)+COUNTIF(总课表!#REF!,A7)</f>
        <v>#REF!</v>
      </c>
      <c r="E7" s="1" t="e">
        <f>COUNTIF(总课表!#REF!,A7)+COUNTIF(总课表!#REF!,A7)+COUNTIF(总课表!#REF!,A7)+COUNTIF(总课表!#REF!,A7)+COUNTIF(总课表!#REF!,A7)+COUNTIF(总课表!#REF!,A7)</f>
        <v>#REF!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20.100000000000001" customHeight="1" x14ac:dyDescent="0.4">
      <c r="A8" s="1" t="s">
        <v>62</v>
      </c>
      <c r="B8" s="1" t="e">
        <f>COUNTIF(总课表!#REF!,A8)+COUNTIF(总课表!#REF!,A8)+COUNTIF(总课表!#REF!,A8)+COUNTIF(总课表!#REF!,A8)+COUNTIF(总课表!#REF!,A8)+COUNTIF(总课表!#REF!,A8)</f>
        <v>#REF!</v>
      </c>
      <c r="C8" s="1" t="e">
        <f>COUNTIF(总课表!#REF!,A8)+COUNTIF(总课表!#REF!,A8)+COUNTIF(总课表!#REF!,A8)+COUNTIF(总课表!#REF!,A8)+COUNTIF(总课表!#REF!,A8)+COUNTIF(总课表!#REF!,A8)</f>
        <v>#REF!</v>
      </c>
      <c r="D8" s="1" t="e">
        <f>COUNTIF(总课表!#REF!,A8)+COUNTIF(总课表!#REF!,A8)+COUNTIF(总课表!#REF!,A8)+COUNTIF(总课表!#REF!,A8)+COUNTIF(总课表!#REF!,A8)+COUNTIF(总课表!#REF!,A8)</f>
        <v>#REF!</v>
      </c>
      <c r="E8" s="1" t="e">
        <f>COUNTIF(总课表!#REF!,A8)+COUNTIF(总课表!#REF!,A8)+COUNTIF(总课表!#REF!,A8)+COUNTIF(总课表!#REF!,A8)+COUNTIF(总课表!#REF!,A8)+COUNTIF(总课表!#REF!,A8)</f>
        <v>#REF!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0.100000000000001" customHeight="1" x14ac:dyDescent="0.4">
      <c r="A9" s="1" t="s">
        <v>66</v>
      </c>
      <c r="B9" s="1" t="e">
        <f>COUNTIF(总课表!#REF!,A9)+COUNTIF(总课表!#REF!,A9)+COUNTIF(总课表!#REF!,A9)+COUNTIF(总课表!#REF!,A9)+COUNTIF(总课表!#REF!,A9)+COUNTIF(总课表!#REF!,A9)</f>
        <v>#REF!</v>
      </c>
      <c r="C9" s="1" t="e">
        <f>COUNTIF(总课表!#REF!,A9)+COUNTIF(总课表!#REF!,A9)+COUNTIF(总课表!#REF!,A9)+COUNTIF(总课表!#REF!,A9)+COUNTIF(总课表!#REF!,A9)+COUNTIF(总课表!#REF!,A9)</f>
        <v>#REF!</v>
      </c>
      <c r="D9" s="1" t="e">
        <f>COUNTIF(总课表!#REF!,A9)+COUNTIF(总课表!#REF!,A9)+COUNTIF(总课表!#REF!,A9)+COUNTIF(总课表!#REF!,A9)+COUNTIF(总课表!#REF!,A9)+COUNTIF(总课表!#REF!,A9)</f>
        <v>#REF!</v>
      </c>
      <c r="E9" s="1" t="e">
        <f>COUNTIF(总课表!#REF!,A9)+COUNTIF(总课表!#REF!,A9)+COUNTIF(总课表!#REF!,A9)+COUNTIF(总课表!#REF!,A9)+COUNTIF(总课表!#REF!,A9)+COUNTIF(总课表!#REF!,A9)</f>
        <v>#REF!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0.100000000000001" customHeight="1" x14ac:dyDescent="0.4">
      <c r="A10" s="1" t="s">
        <v>71</v>
      </c>
      <c r="B10" s="1" t="e">
        <f>COUNTIF(总课表!#REF!,A10)+COUNTIF(总课表!#REF!,A10)+COUNTIF(总课表!#REF!,A10)+COUNTIF(总课表!#REF!,A10)+COUNTIF(总课表!#REF!,A10)+COUNTIF(总课表!#REF!,A10)</f>
        <v>#REF!</v>
      </c>
      <c r="C10" s="1" t="e">
        <f>COUNTIF(总课表!#REF!,A10)+COUNTIF(总课表!#REF!,A10)+COUNTIF(总课表!#REF!,A10)+COUNTIF(总课表!#REF!,A10)+COUNTIF(总课表!#REF!,A10)+COUNTIF(总课表!#REF!,A10)</f>
        <v>#REF!</v>
      </c>
      <c r="D10" s="1" t="e">
        <f>COUNTIF(总课表!#REF!,A10)+COUNTIF(总课表!#REF!,A10)+COUNTIF(总课表!#REF!,A10)+COUNTIF(总课表!#REF!,A10)+COUNTIF(总课表!#REF!,A10)+COUNTIF(总课表!#REF!,A10)</f>
        <v>#REF!</v>
      </c>
      <c r="E10" s="1" t="e">
        <f>COUNTIF(总课表!#REF!,A10)+COUNTIF(总课表!#REF!,A10)+COUNTIF(总课表!#REF!,A10)+COUNTIF(总课表!#REF!,A10)+COUNTIF(总课表!#REF!,A10)+COUNTIF(总课表!#REF!,A10)</f>
        <v>#REF!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0.100000000000001" customHeight="1" x14ac:dyDescent="0.4">
      <c r="A11" s="1" t="s">
        <v>76</v>
      </c>
      <c r="B11" s="1" t="e">
        <f>COUNTIF(总课表!#REF!,A11)+COUNTIF(总课表!#REF!,A11)+COUNTIF(总课表!#REF!,A11)+COUNTIF(总课表!#REF!,A11)+COUNTIF(总课表!#REF!,A11)+COUNTIF(总课表!#REF!,A11)</f>
        <v>#REF!</v>
      </c>
      <c r="C11" s="1" t="e">
        <f>COUNTIF(总课表!#REF!,A11)+COUNTIF(总课表!#REF!,A11)+COUNTIF(总课表!#REF!,A11)+COUNTIF(总课表!#REF!,A11)+COUNTIF(总课表!#REF!,A11)+COUNTIF(总课表!#REF!,A11)</f>
        <v>#REF!</v>
      </c>
      <c r="D11" s="1" t="e">
        <f>COUNTIF(总课表!#REF!,A11)+COUNTIF(总课表!#REF!,A11)+COUNTIF(总课表!#REF!,A11)+COUNTIF(总课表!#REF!,A11)+COUNTIF(总课表!#REF!,A11)+COUNTIF(总课表!#REF!,A11)</f>
        <v>#REF!</v>
      </c>
      <c r="E11" s="1" t="e">
        <f>COUNTIF(总课表!#REF!,A11)+COUNTIF(总课表!#REF!,A11)+COUNTIF(总课表!#REF!,A11)+COUNTIF(总课表!#REF!,A11)+COUNTIF(总课表!#REF!,A11)+COUNTIF(总课表!#REF!,A11)</f>
        <v>#REF!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0.100000000000001" customHeight="1" x14ac:dyDescent="0.4">
      <c r="A12" s="1" t="s">
        <v>81</v>
      </c>
      <c r="B12" s="1" t="e">
        <f>COUNTIF(总课表!#REF!,A12)+COUNTIF(总课表!#REF!,A12)+COUNTIF(总课表!#REF!,A12)+COUNTIF(总课表!#REF!,A12)+COUNTIF(总课表!#REF!,A12)+COUNTIF(总课表!#REF!,A12)</f>
        <v>#REF!</v>
      </c>
      <c r="C12" s="1" t="e">
        <f>COUNTIF(总课表!#REF!,A12)+COUNTIF(总课表!#REF!,A12)+COUNTIF(总课表!#REF!,A12)+COUNTIF(总课表!#REF!,A12)+COUNTIF(总课表!#REF!,A12)+COUNTIF(总课表!#REF!,A12)</f>
        <v>#REF!</v>
      </c>
      <c r="D12" s="1" t="e">
        <f>COUNTIF(总课表!#REF!,A12)+COUNTIF(总课表!#REF!,A12)+COUNTIF(总课表!#REF!,A12)+COUNTIF(总课表!#REF!,A12)+COUNTIF(总课表!#REF!,A12)+COUNTIF(总课表!#REF!,A12)</f>
        <v>#REF!</v>
      </c>
      <c r="E12" s="1" t="e">
        <f>COUNTIF(总课表!#REF!,A12)+COUNTIF(总课表!#REF!,A12)+COUNTIF(总课表!#REF!,A12)+COUNTIF(总课表!#REF!,A12)+COUNTIF(总课表!#REF!,A12)+COUNTIF(总课表!#REF!,A12)</f>
        <v>#REF!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0.100000000000001" customHeight="1" x14ac:dyDescent="0.4">
      <c r="A13" s="1" t="s">
        <v>85</v>
      </c>
      <c r="B13" s="1" t="e">
        <f>COUNTIF(总课表!#REF!,A13)+COUNTIF(总课表!#REF!,A13)+COUNTIF(总课表!#REF!,A13)+COUNTIF(总课表!#REF!,A13)+COUNTIF(总课表!#REF!,A13)+COUNTIF(总课表!#REF!,A13)</f>
        <v>#REF!</v>
      </c>
      <c r="C13" s="1" t="e">
        <f>COUNTIF(总课表!#REF!,A13)+COUNTIF(总课表!#REF!,A13)+COUNTIF(总课表!#REF!,A13)+COUNTIF(总课表!#REF!,A13)+COUNTIF(总课表!#REF!,A13)+COUNTIF(总课表!#REF!,A13)</f>
        <v>#REF!</v>
      </c>
      <c r="D13" s="1" t="e">
        <f>COUNTIF(总课表!#REF!,A13)+COUNTIF(总课表!#REF!,A13)+COUNTIF(总课表!#REF!,A13)+COUNTIF(总课表!#REF!,A13)+COUNTIF(总课表!#REF!,A13)+COUNTIF(总课表!#REF!,A13)</f>
        <v>#REF!</v>
      </c>
      <c r="E13" s="1" t="e">
        <f>COUNTIF(总课表!#REF!,A13)+COUNTIF(总课表!#REF!,A13)+COUNTIF(总课表!#REF!,A13)+COUNTIF(总课表!#REF!,A13)+COUNTIF(总课表!#REF!,A13)+COUNTIF(总课表!#REF!,A13)</f>
        <v>#REF!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0.100000000000001" customHeight="1" x14ac:dyDescent="0.4">
      <c r="A14" s="1" t="s">
        <v>87</v>
      </c>
      <c r="B14" s="1" t="e">
        <f>COUNTIF(总课表!#REF!,A14)+COUNTIF(总课表!#REF!,A14)+COUNTIF(总课表!#REF!,A14)+COUNTIF(总课表!#REF!,A14)+COUNTIF(总课表!#REF!,A14)+COUNTIF(总课表!#REF!,A14)</f>
        <v>#REF!</v>
      </c>
      <c r="C14" s="1" t="e">
        <f>COUNTIF(总课表!#REF!,A14)+COUNTIF(总课表!#REF!,A14)+COUNTIF(总课表!#REF!,A14)+COUNTIF(总课表!#REF!,A14)+COUNTIF(总课表!#REF!,A14)+COUNTIF(总课表!#REF!,A14)</f>
        <v>#REF!</v>
      </c>
      <c r="D14" s="1" t="e">
        <f>COUNTIF(总课表!#REF!,A14)+COUNTIF(总课表!#REF!,A14)+COUNTIF(总课表!#REF!,A14)+COUNTIF(总课表!#REF!,A14)+COUNTIF(总课表!#REF!,A14)+COUNTIF(总课表!#REF!,A14)</f>
        <v>#REF!</v>
      </c>
      <c r="E14" s="1" t="e">
        <f>COUNTIF(总课表!#REF!,A14)+COUNTIF(总课表!#REF!,A14)+COUNTIF(总课表!#REF!,A14)+COUNTIF(总课表!#REF!,A14)+COUNTIF(总课表!#REF!,A14)+COUNTIF(总课表!#REF!,A14)</f>
        <v>#REF!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0.100000000000001" customHeight="1" x14ac:dyDescent="0.4">
      <c r="A15" s="1" t="s">
        <v>89</v>
      </c>
      <c r="B15" s="1" t="e">
        <f>COUNTIF(总课表!#REF!,A15)+COUNTIF(总课表!#REF!,A15)+COUNTIF(总课表!#REF!,A15)+COUNTIF(总课表!#REF!,A15)+COUNTIF(总课表!#REF!,A15)+COUNTIF(总课表!#REF!,A15)</f>
        <v>#REF!</v>
      </c>
      <c r="C15" s="1" t="e">
        <f>COUNTIF(总课表!#REF!,A15)+COUNTIF(总课表!#REF!,A15)+COUNTIF(总课表!#REF!,A15)+COUNTIF(总课表!#REF!,A15)+COUNTIF(总课表!#REF!,A15)+COUNTIF(总课表!#REF!,A15)</f>
        <v>#REF!</v>
      </c>
      <c r="D15" s="1" t="e">
        <f>COUNTIF(总课表!#REF!,A15)+COUNTIF(总课表!#REF!,A15)+COUNTIF(总课表!#REF!,A15)+COUNTIF(总课表!#REF!,A15)+COUNTIF(总课表!#REF!,A15)+COUNTIF(总课表!#REF!,A15)</f>
        <v>#REF!</v>
      </c>
      <c r="E15" s="1" t="e">
        <f>COUNTIF(总课表!#REF!,A15)+COUNTIF(总课表!#REF!,A15)+COUNTIF(总课表!#REF!,A15)+COUNTIF(总课表!#REF!,A15)+COUNTIF(总课表!#REF!,A15)+COUNTIF(总课表!#REF!,A15)</f>
        <v>#REF!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0.100000000000001" customHeight="1" x14ac:dyDescent="0.4">
      <c r="A16" s="5" t="s">
        <v>229</v>
      </c>
      <c r="B16" s="1" t="e">
        <f>COUNTIF(总课表!#REF!,A16)+COUNTIF(总课表!#REF!,A16)+COUNTIF(总课表!#REF!,A16)+COUNTIF(总课表!#REF!,A16)+COUNTIF(总课表!#REF!,A16)+COUNTIF(总课表!#REF!,A16)</f>
        <v>#REF!</v>
      </c>
      <c r="C16" s="1" t="e">
        <f>COUNTIF(总课表!#REF!,A16)+COUNTIF(总课表!#REF!,A16)+COUNTIF(总课表!#REF!,A16)+COUNTIF(总课表!#REF!,A16)+COUNTIF(总课表!#REF!,A16)+COUNTIF(总课表!#REF!,A16)</f>
        <v>#REF!</v>
      </c>
      <c r="D16" s="1" t="e">
        <f>COUNTIF(总课表!#REF!,A16)+COUNTIF(总课表!#REF!,A16)+COUNTIF(总课表!#REF!,A16)+COUNTIF(总课表!#REF!,A16)+COUNTIF(总课表!#REF!,A16)+COUNTIF(总课表!#REF!,A16)</f>
        <v>#REF!</v>
      </c>
      <c r="E16" s="1" t="e">
        <f>COUNTIF(总课表!#REF!,A16)+COUNTIF(总课表!#REF!,A16)+COUNTIF(总课表!#REF!,A16)+COUNTIF(总课表!#REF!,A16)+COUNTIF(总课表!#REF!,A16)+COUNTIF(总课表!#REF!,A16)</f>
        <v>#REF!</v>
      </c>
      <c r="F16" s="6">
        <f t="shared" ref="F16:P16" si="0">SUM(F3:F15)</f>
        <v>0</v>
      </c>
      <c r="G16" s="6">
        <f t="shared" si="0"/>
        <v>0</v>
      </c>
      <c r="H16" s="6">
        <f t="shared" si="0"/>
        <v>0</v>
      </c>
      <c r="I16" s="6">
        <f t="shared" si="0"/>
        <v>0</v>
      </c>
      <c r="J16" s="6">
        <f t="shared" si="0"/>
        <v>0</v>
      </c>
      <c r="K16" s="6">
        <f t="shared" si="0"/>
        <v>0</v>
      </c>
      <c r="L16" s="6">
        <f t="shared" si="0"/>
        <v>0</v>
      </c>
      <c r="M16" s="6">
        <f t="shared" si="0"/>
        <v>0</v>
      </c>
      <c r="N16" s="6">
        <f t="shared" si="0"/>
        <v>0</v>
      </c>
      <c r="O16" s="6">
        <f t="shared" si="0"/>
        <v>0</v>
      </c>
      <c r="P16" s="6">
        <f t="shared" si="0"/>
        <v>0</v>
      </c>
    </row>
    <row r="30" spans="1:16" ht="23.25" hidden="1" x14ac:dyDescent="0.4">
      <c r="A30" s="254" t="s">
        <v>242</v>
      </c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</row>
    <row r="31" spans="1:16" hidden="1" x14ac:dyDescent="0.4">
      <c r="A31" s="6" t="s">
        <v>241</v>
      </c>
      <c r="B31" s="6">
        <v>701</v>
      </c>
      <c r="C31" s="6">
        <v>702</v>
      </c>
      <c r="D31" s="6">
        <v>703</v>
      </c>
      <c r="E31" s="6">
        <v>704</v>
      </c>
      <c r="F31" s="6">
        <v>101</v>
      </c>
      <c r="G31" s="6">
        <v>102</v>
      </c>
      <c r="H31" s="6">
        <v>103</v>
      </c>
      <c r="I31" s="6">
        <v>104</v>
      </c>
      <c r="J31" s="6">
        <v>105</v>
      </c>
      <c r="K31" s="6">
        <v>106</v>
      </c>
      <c r="L31" s="6">
        <v>107</v>
      </c>
      <c r="M31" s="6">
        <v>108</v>
      </c>
      <c r="N31" s="6">
        <v>109</v>
      </c>
      <c r="O31" s="6">
        <v>110</v>
      </c>
      <c r="P31" s="6">
        <v>111</v>
      </c>
    </row>
    <row r="32" spans="1:16" hidden="1" x14ac:dyDescent="0.4">
      <c r="A32" s="1" t="s">
        <v>26</v>
      </c>
      <c r="B32" s="1" t="e">
        <f>COUNTIF(总课表!#REF!,A32)+COUNTIF(总课表!#REF!,A32)+COUNTIF(总课表!#REF!,A32)+COUNTIF(总课表!#REF!,A32)+COUNTIF(总课表!#REF!,A32)+COUNTIF(总课表!#REF!,A32)</f>
        <v>#REF!</v>
      </c>
      <c r="C32" s="1" t="e">
        <f>COUNTIF(总课表!#REF!,A32)+COUNTIF(总课表!#REF!,A32)+COUNTIF(总课表!#REF!,A32)+COUNTIF(总课表!#REF!,A32)+COUNTIF(总课表!#REF!,A32)+COUNTIF(总课表!#REF!,A32)</f>
        <v>#REF!</v>
      </c>
      <c r="D32" s="1" t="e">
        <f>COUNTIF(总课表!#REF!,A32)+COUNTIF(总课表!#REF!,A32)+COUNTIF(总课表!#REF!,A32)+COUNTIF(总课表!#REF!,A32)+COUNTIF(总课表!#REF!,A32)+COUNTIF(总课表!#REF!,A32)</f>
        <v>#REF!</v>
      </c>
      <c r="E32" s="1" t="e">
        <f>COUNTIF(总课表!#REF!,A32)+COUNTIF(总课表!#REF!,A32)+COUNTIF(总课表!#REF!,A32)+COUNTIF(总课表!#REF!,A32)+COUNTIF(总课表!#REF!,A32)+COUNTIF(总课表!#REF!,A32)</f>
        <v>#REF!</v>
      </c>
      <c r="F32" s="1">
        <f>COUNTIF(总课表!C$4:C$7,A32)+COUNTIF(总课表!AA$4:AA$7,A32)+COUNTIF(总课表!AY$4:AY$7,A32)+COUNTIF(总课表!BW$4:BW$7,A32)+COUNTIF(总课表!CU$4:CU$7,A32)</f>
        <v>1</v>
      </c>
      <c r="G32" s="1">
        <f>COUNTIF(总课表!D$4:D$7,A32)+COUNTIF(总课表!AB$4:AB$7,A32)+COUNTIF(总课表!AZ$4:AZ$7,A32)+COUNTIF(总课表!BX$4:BX$7,A32)+COUNTIF(总课表!CV$4:CV$7,A32)</f>
        <v>2</v>
      </c>
      <c r="H32" s="1">
        <f>COUNTIF(总课表!E$4:E$7,A32)+COUNTIF(总课表!AC$4:AC$7,A32)+COUNTIF(总课表!BA$4:BA$7,A32)+COUNTIF(总课表!BY$4:BY$7,A32)+COUNTIF(总课表!CW$4:CW$7,A32)</f>
        <v>2</v>
      </c>
      <c r="I32" s="1">
        <f>COUNTIF(总课表!F$4:F$7,A32)+COUNTIF(总课表!AD$4:AD$7,A32)+COUNTIF(总课表!BB$4:BB$7,A32)+COUNTIF(总课表!BZ$4:BZ$7,A32)+COUNTIF(总课表!CX$4:CX$7,A32)</f>
        <v>2</v>
      </c>
      <c r="J32" s="1">
        <f>COUNTIF(总课表!G$4:G$7,A32)+COUNTIF(总课表!AE$4:AE$7,A32)+COUNTIF(总课表!BC$4:BC$7,A32)+COUNTIF(总课表!CA$4:CA$7,A32)+COUNTIF(总课表!CY$4:CY$7,A32)</f>
        <v>2</v>
      </c>
      <c r="K32" s="1">
        <f>COUNTIF(总课表!H$4:H$7,A32)+COUNTIF(总课表!AF$4:AF$7,A32)+COUNTIF(总课表!BD$4:BD$7,A32)+COUNTIF(总课表!CB$4:CB$7,A32)+COUNTIF(总课表!CZ$4:CZ$7,A32)</f>
        <v>1</v>
      </c>
      <c r="L32" s="1">
        <f>COUNTIF(总课表!I$4:I$7,A32)+COUNTIF(总课表!AG$4:AG$7,A32)+COUNTIF(总课表!BE$4:BE$7,A32)+COUNTIF(总课表!CC$4:CC$7,A32)+COUNTIF(总课表!DA$4:DA$7,A32)</f>
        <v>1</v>
      </c>
      <c r="M32" s="1">
        <f>COUNTIF(总课表!J$4:J$7,A32)+COUNTIF(总课表!AH$4:AH$7,A32)+COUNTIF(总课表!BF$4:BF$7,A32)+COUNTIF(总课表!CD$4:CD$7,A32)+COUNTIF(总课表!DB$4:DB$7,A32)</f>
        <v>2</v>
      </c>
      <c r="N32" s="1">
        <f>COUNTIF(总课表!K$4:K$7,A32)+COUNTIF(总课表!AI$4:AI$7,A32)+COUNTIF(总课表!BG$4:BG$7,A32)+COUNTIF(总课表!CE$4:CE$7,A32)+COUNTIF(总课表!DC$4:DC$7,A32)</f>
        <v>1</v>
      </c>
      <c r="O32" s="1">
        <f>COUNTIF(总课表!L$4:L$7,A32)+COUNTIF(总课表!AJ$4:AJ$7,A32)+COUNTIF(总课表!BH$4:BH$7,A32)+COUNTIF(总课表!CF$4:CF$7,A32)+COUNTIF(总课表!DD$4:DD$7,A32)</f>
        <v>1</v>
      </c>
      <c r="P32" s="1">
        <f>COUNTIF(总课表!M$4:M$7,A32)+COUNTIF(总课表!AK$4:AK$7,A32)+COUNTIF(总课表!BI$4:BI$7,A32)+COUNTIF(总课表!CG$4:CG$7,A32)+COUNTIF(总课表!DE$4:DE$7,A32)</f>
        <v>2</v>
      </c>
    </row>
    <row r="33" spans="1:16" hidden="1" x14ac:dyDescent="0.4">
      <c r="A33" s="1" t="s">
        <v>34</v>
      </c>
      <c r="B33" s="1" t="e">
        <f>COUNTIF(总课表!#REF!,A33)+COUNTIF(总课表!#REF!,A33)+COUNTIF(总课表!#REF!,A33)+COUNTIF(总课表!#REF!,A33)+COUNTIF(总课表!#REF!,A33)+COUNTIF(总课表!#REF!,A33)</f>
        <v>#REF!</v>
      </c>
      <c r="C33" s="1" t="e">
        <f>COUNTIF(总课表!#REF!,A33)+COUNTIF(总课表!#REF!,A33)+COUNTIF(总课表!#REF!,A33)+COUNTIF(总课表!#REF!,A33)+COUNTIF(总课表!#REF!,A33)+COUNTIF(总课表!#REF!,A33)</f>
        <v>#REF!</v>
      </c>
      <c r="D33" s="1" t="e">
        <f>COUNTIF(总课表!#REF!,A33)+COUNTIF(总课表!#REF!,A33)+COUNTIF(总课表!#REF!,A33)+COUNTIF(总课表!#REF!,A33)+COUNTIF(总课表!#REF!,A33)+COUNTIF(总课表!#REF!,A33)</f>
        <v>#REF!</v>
      </c>
      <c r="E33" s="1" t="e">
        <f>COUNTIF(总课表!#REF!,A33)+COUNTIF(总课表!#REF!,A33)+COUNTIF(总课表!#REF!,A33)+COUNTIF(总课表!#REF!,A33)+COUNTIF(总课表!#REF!,A33)+COUNTIF(总课表!#REF!,A33)</f>
        <v>#REF!</v>
      </c>
      <c r="F33" s="1">
        <f>COUNTIF(总课表!C$4:C$7,A33)+COUNTIF(总课表!AA$4:AA$7,A33)+COUNTIF(总课表!AY$4:AY$7,A33)+COUNTIF(总课表!BW$4:BW$7,A33)+COUNTIF(总课表!CU$4:CU$7,A33)</f>
        <v>0</v>
      </c>
      <c r="G33" s="1">
        <f>COUNTIF(总课表!D$4:D$7,A33)+COUNTIF(总课表!AB$4:AB$7,A33)+COUNTIF(总课表!AZ$4:AZ$7,A33)+COUNTIF(总课表!BX$4:BX$7,A33)+COUNTIF(总课表!CV$4:CV$7,A33)</f>
        <v>0</v>
      </c>
      <c r="H33" s="1">
        <f>COUNTIF(总课表!E$4:E$7,A33)+COUNTIF(总课表!AC$4:AC$7,A33)+COUNTIF(总课表!BA$4:BA$7,A33)+COUNTIF(总课表!BY$4:BY$7,A33)+COUNTIF(总课表!CW$4:CW$7,A33)</f>
        <v>0</v>
      </c>
      <c r="I33" s="1">
        <f>COUNTIF(总课表!F$4:F$7,A33)+COUNTIF(总课表!AD$4:AD$7,A33)+COUNTIF(总课表!BB$4:BB$7,A33)+COUNTIF(总课表!BZ$4:BZ$7,A33)+COUNTIF(总课表!CX$4:CX$7,A33)</f>
        <v>0</v>
      </c>
      <c r="J33" s="1">
        <f>COUNTIF(总课表!G$4:G$7,A33)+COUNTIF(总课表!AE$4:AE$7,A33)+COUNTIF(总课表!BC$4:BC$7,A33)+COUNTIF(总课表!CA$4:CA$7,A33)+COUNTIF(总课表!CY$4:CY$7,A33)</f>
        <v>0</v>
      </c>
      <c r="K33" s="1">
        <f>COUNTIF(总课表!H$4:H$7,A33)+COUNTIF(总课表!AF$4:AF$7,A33)+COUNTIF(总课表!BD$4:BD$7,A33)+COUNTIF(总课表!CB$4:CB$7,A33)+COUNTIF(总课表!CZ$4:CZ$7,A33)</f>
        <v>0</v>
      </c>
      <c r="L33" s="1">
        <f>COUNTIF(总课表!I$4:I$7,A33)+COUNTIF(总课表!AG$4:AG$7,A33)+COUNTIF(总课表!BE$4:BE$7,A33)+COUNTIF(总课表!CC$4:CC$7,A33)+COUNTIF(总课表!DA$4:DA$7,A33)</f>
        <v>0</v>
      </c>
      <c r="M33" s="1">
        <f>COUNTIF(总课表!J$4:J$7,A33)+COUNTIF(总课表!AH$4:AH$7,A33)+COUNTIF(总课表!BF$4:BF$7,A33)+COUNTIF(总课表!CD$4:CD$7,A33)+COUNTIF(总课表!DB$4:DB$7,A33)</f>
        <v>0</v>
      </c>
      <c r="N33" s="1">
        <f>COUNTIF(总课表!K$4:K$7,A33)+COUNTIF(总课表!AI$4:AI$7,A33)+COUNTIF(总课表!BG$4:BG$7,A33)+COUNTIF(总课表!CE$4:CE$7,A33)+COUNTIF(总课表!DC$4:DC$7,A33)</f>
        <v>0</v>
      </c>
      <c r="O33" s="1">
        <f>COUNTIF(总课表!L$4:L$7,A33)+COUNTIF(总课表!AJ$4:AJ$7,A33)+COUNTIF(总课表!BH$4:BH$7,A33)+COUNTIF(总课表!CF$4:CF$7,A33)+COUNTIF(总课表!DD$4:DD$7,A33)</f>
        <v>0</v>
      </c>
      <c r="P33" s="1">
        <f>COUNTIF(总课表!M$4:M$7,A33)+COUNTIF(总课表!AK$4:AK$7,A33)+COUNTIF(总课表!BI$4:BI$7,A33)+COUNTIF(总课表!CG$4:CG$7,A33)+COUNTIF(总课表!DE$4:DE$7,A33)</f>
        <v>0</v>
      </c>
    </row>
    <row r="34" spans="1:16" hidden="1" x14ac:dyDescent="0.4">
      <c r="A34" s="1" t="s">
        <v>136</v>
      </c>
      <c r="B34" s="1" t="e">
        <f>COUNTIF(总课表!#REF!,A34)+COUNTIF(总课表!#REF!,A34)+COUNTIF(总课表!#REF!,A34)+COUNTIF(总课表!#REF!,A34)+COUNTIF(总课表!#REF!,A34)+COUNTIF(总课表!#REF!,A34)</f>
        <v>#REF!</v>
      </c>
      <c r="C34" s="1" t="e">
        <f>COUNTIF(总课表!#REF!,A34)+COUNTIF(总课表!#REF!,A34)+COUNTIF(总课表!#REF!,A34)+COUNTIF(总课表!#REF!,A34)+COUNTIF(总课表!#REF!,A34)+COUNTIF(总课表!#REF!,A34)</f>
        <v>#REF!</v>
      </c>
      <c r="D34" s="1" t="e">
        <f>COUNTIF(总课表!#REF!,A34)+COUNTIF(总课表!#REF!,A34)+COUNTIF(总课表!#REF!,A34)+COUNTIF(总课表!#REF!,A34)+COUNTIF(总课表!#REF!,A34)+COUNTIF(总课表!#REF!,A34)</f>
        <v>#REF!</v>
      </c>
      <c r="E34" s="1" t="e">
        <f>COUNTIF(总课表!#REF!,A34)+COUNTIF(总课表!#REF!,A34)+COUNTIF(总课表!#REF!,A34)+COUNTIF(总课表!#REF!,A34)+COUNTIF(总课表!#REF!,A34)+COUNTIF(总课表!#REF!,A34)</f>
        <v>#REF!</v>
      </c>
      <c r="F34" s="1">
        <f>COUNTIF(总课表!C$4:C$7,A34)+COUNTIF(总课表!AA$4:AA$7,A34)+COUNTIF(总课表!AY$4:AY$7,A34)+COUNTIF(总课表!BW$4:BW$7,A34)+COUNTIF(总课表!CU$4:CU$7,A34)</f>
        <v>0</v>
      </c>
      <c r="G34" s="1">
        <f>COUNTIF(总课表!D$4:D$7,A34)+COUNTIF(总课表!AB$4:AB$7,A34)+COUNTIF(总课表!AZ$4:AZ$7,A34)+COUNTIF(总课表!BX$4:BX$7,A34)+COUNTIF(总课表!CV$4:CV$7,A34)</f>
        <v>0</v>
      </c>
      <c r="H34" s="1">
        <f>COUNTIF(总课表!E$4:E$7,A34)+COUNTIF(总课表!AC$4:AC$7,A34)+COUNTIF(总课表!BA$4:BA$7,A34)+COUNTIF(总课表!BY$4:BY$7,A34)+COUNTIF(总课表!CW$4:CW$7,A34)</f>
        <v>0</v>
      </c>
      <c r="I34" s="1">
        <f>COUNTIF(总课表!F$4:F$7,A34)+COUNTIF(总课表!AD$4:AD$7,A34)+COUNTIF(总课表!BB$4:BB$7,A34)+COUNTIF(总课表!BZ$4:BZ$7,A34)+COUNTIF(总课表!CX$4:CX$7,A34)</f>
        <v>0</v>
      </c>
      <c r="J34" s="1">
        <f>COUNTIF(总课表!G$4:G$7,A34)+COUNTIF(总课表!AE$4:AE$7,A34)+COUNTIF(总课表!BC$4:BC$7,A34)+COUNTIF(总课表!CA$4:CA$7,A34)+COUNTIF(总课表!CY$4:CY$7,A34)</f>
        <v>0</v>
      </c>
      <c r="K34" s="1">
        <f>COUNTIF(总课表!H$4:H$7,A34)+COUNTIF(总课表!AF$4:AF$7,A34)+COUNTIF(总课表!BD$4:BD$7,A34)+COUNTIF(总课表!CB$4:CB$7,A34)+COUNTIF(总课表!CZ$4:CZ$7,A34)</f>
        <v>0</v>
      </c>
      <c r="L34" s="1">
        <f>COUNTIF(总课表!I$4:I$7,A34)+COUNTIF(总课表!AG$4:AG$7,A34)+COUNTIF(总课表!BE$4:BE$7,A34)+COUNTIF(总课表!CC$4:CC$7,A34)+COUNTIF(总课表!DA$4:DA$7,A34)</f>
        <v>0</v>
      </c>
      <c r="M34" s="1">
        <f>COUNTIF(总课表!J$4:J$7,A34)+COUNTIF(总课表!AH$4:AH$7,A34)+COUNTIF(总课表!BF$4:BF$7,A34)+COUNTIF(总课表!CD$4:CD$7,A34)+COUNTIF(总课表!DB$4:DB$7,A34)</f>
        <v>0</v>
      </c>
      <c r="N34" s="1">
        <f>COUNTIF(总课表!K$4:K$7,A34)+COUNTIF(总课表!AI$4:AI$7,A34)+COUNTIF(总课表!BG$4:BG$7,A34)+COUNTIF(总课表!CE$4:CE$7,A34)+COUNTIF(总课表!DC$4:DC$7,A34)</f>
        <v>0</v>
      </c>
      <c r="O34" s="1">
        <f>COUNTIF(总课表!L$4:L$7,A34)+COUNTIF(总课表!AJ$4:AJ$7,A34)+COUNTIF(总课表!BH$4:BH$7,A34)+COUNTIF(总课表!CF$4:CF$7,A34)+COUNTIF(总课表!DD$4:DD$7,A34)</f>
        <v>0</v>
      </c>
      <c r="P34" s="1">
        <f>COUNTIF(总课表!M$4:M$7,A34)+COUNTIF(总课表!AK$4:AK$7,A34)+COUNTIF(总课表!BI$4:BI$7,A34)+COUNTIF(总课表!CG$4:CG$7,A34)+COUNTIF(总课表!DE$4:DE$7,A34)</f>
        <v>0</v>
      </c>
    </row>
    <row r="35" spans="1:16" hidden="1" x14ac:dyDescent="0.4">
      <c r="A35" s="1" t="s">
        <v>66</v>
      </c>
      <c r="B35" s="1" t="e">
        <f>COUNTIF(总课表!#REF!,A35)+COUNTIF(总课表!#REF!,A35)+COUNTIF(总课表!#REF!,A35)+COUNTIF(总课表!#REF!,A35)+COUNTIF(总课表!#REF!,A35)+COUNTIF(总课表!#REF!,A35)</f>
        <v>#REF!</v>
      </c>
      <c r="C35" s="1" t="e">
        <f>COUNTIF(总课表!#REF!,A35)+COUNTIF(总课表!#REF!,A35)+COUNTIF(总课表!#REF!,A35)+COUNTIF(总课表!#REF!,A35)+COUNTIF(总课表!#REF!,A35)+COUNTIF(总课表!#REF!,A35)</f>
        <v>#REF!</v>
      </c>
      <c r="D35" s="1" t="e">
        <f>COUNTIF(总课表!#REF!,A35)+COUNTIF(总课表!#REF!,A35)+COUNTIF(总课表!#REF!,A35)+COUNTIF(总课表!#REF!,A35)+COUNTIF(总课表!#REF!,A35)+COUNTIF(总课表!#REF!,A35)</f>
        <v>#REF!</v>
      </c>
      <c r="E35" s="1" t="e">
        <f>COUNTIF(总课表!#REF!,A35)+COUNTIF(总课表!#REF!,A35)+COUNTIF(总课表!#REF!,A35)+COUNTIF(总课表!#REF!,A35)+COUNTIF(总课表!#REF!,A35)+COUNTIF(总课表!#REF!,A35)</f>
        <v>#REF!</v>
      </c>
      <c r="F35" s="1">
        <f>COUNTIF(总课表!C$4:C$7,A35)+COUNTIF(总课表!AA$4:AA$7,A35)+COUNTIF(总课表!AY$4:AY$7,A35)+COUNTIF(总课表!BW$4:BW$7,A35)+COUNTIF(总课表!CU$4:CU$7,A35)</f>
        <v>0</v>
      </c>
      <c r="G35" s="1">
        <f>COUNTIF(总课表!D$4:D$7,A35)+COUNTIF(总课表!AB$4:AB$7,A35)+COUNTIF(总课表!AZ$4:AZ$7,A35)+COUNTIF(总课表!BX$4:BX$7,A35)+COUNTIF(总课表!CV$4:CV$7,A35)</f>
        <v>0</v>
      </c>
      <c r="H35" s="1">
        <f>COUNTIF(总课表!E$4:E$7,A35)+COUNTIF(总课表!AC$4:AC$7,A35)+COUNTIF(总课表!BA$4:BA$7,A35)+COUNTIF(总课表!BY$4:BY$7,A35)+COUNTIF(总课表!CW$4:CW$7,A35)</f>
        <v>0</v>
      </c>
      <c r="I35" s="1">
        <f>COUNTIF(总课表!F$4:F$7,A35)+COUNTIF(总课表!AD$4:AD$7,A35)+COUNTIF(总课表!BB$4:BB$7,A35)+COUNTIF(总课表!BZ$4:BZ$7,A35)+COUNTIF(总课表!CX$4:CX$7,A35)</f>
        <v>0</v>
      </c>
      <c r="J35" s="1">
        <f>COUNTIF(总课表!G$4:G$7,A35)+COUNTIF(总课表!AE$4:AE$7,A35)+COUNTIF(总课表!BC$4:BC$7,A35)+COUNTIF(总课表!CA$4:CA$7,A35)+COUNTIF(总课表!CY$4:CY$7,A35)</f>
        <v>0</v>
      </c>
      <c r="K35" s="1">
        <f>COUNTIF(总课表!H$4:H$7,A35)+COUNTIF(总课表!AF$4:AF$7,A35)+COUNTIF(总课表!BD$4:BD$7,A35)+COUNTIF(总课表!CB$4:CB$7,A35)+COUNTIF(总课表!CZ$4:CZ$7,A35)</f>
        <v>0</v>
      </c>
      <c r="L35" s="1">
        <f>COUNTIF(总课表!I$4:I$7,A35)+COUNTIF(总课表!AG$4:AG$7,A35)+COUNTIF(总课表!BE$4:BE$7,A35)+COUNTIF(总课表!CC$4:CC$7,A35)+COUNTIF(总课表!DA$4:DA$7,A35)</f>
        <v>0</v>
      </c>
      <c r="M35" s="1">
        <f>COUNTIF(总课表!J$4:J$7,A35)+COUNTIF(总课表!AH$4:AH$7,A35)+COUNTIF(总课表!BF$4:BF$7,A35)+COUNTIF(总课表!CD$4:CD$7,A35)+COUNTIF(总课表!DB$4:DB$7,A35)</f>
        <v>0</v>
      </c>
      <c r="N35" s="1">
        <f>COUNTIF(总课表!K$4:K$7,A35)+COUNTIF(总课表!AI$4:AI$7,A35)+COUNTIF(总课表!BG$4:BG$7,A35)+COUNTIF(总课表!CE$4:CE$7,A35)+COUNTIF(总课表!DC$4:DC$7,A35)</f>
        <v>3</v>
      </c>
      <c r="O35" s="1">
        <f>COUNTIF(总课表!L$4:L$7,A35)+COUNTIF(总课表!AJ$4:AJ$7,A35)+COUNTIF(总课表!BH$4:BH$7,A35)+COUNTIF(总课表!CF$4:CF$7,A35)+COUNTIF(总课表!DD$4:DD$7,A35)</f>
        <v>1</v>
      </c>
      <c r="P35" s="1">
        <f>COUNTIF(总课表!M$4:M$7,A35)+COUNTIF(总课表!AK$4:AK$7,A35)+COUNTIF(总课表!BI$4:BI$7,A35)+COUNTIF(总课表!CG$4:CG$7,A35)+COUNTIF(总课表!DE$4:DE$7,A35)</f>
        <v>0</v>
      </c>
    </row>
    <row r="36" spans="1:16" hidden="1" x14ac:dyDescent="0.4">
      <c r="A36" s="1" t="s">
        <v>76</v>
      </c>
      <c r="B36" s="1" t="e">
        <f>COUNTIF(总课表!#REF!,A36)+COUNTIF(总课表!#REF!,A36)+COUNTIF(总课表!#REF!,A36)+COUNTIF(总课表!#REF!,A36)+COUNTIF(总课表!#REF!,A36)+COUNTIF(总课表!#REF!,A36)</f>
        <v>#REF!</v>
      </c>
      <c r="C36" s="1" t="e">
        <f>COUNTIF(总课表!#REF!,A36)+COUNTIF(总课表!#REF!,A36)+COUNTIF(总课表!#REF!,A36)+COUNTIF(总课表!#REF!,A36)+COUNTIF(总课表!#REF!,A36)+COUNTIF(总课表!#REF!,A36)</f>
        <v>#REF!</v>
      </c>
      <c r="D36" s="1" t="e">
        <f>COUNTIF(总课表!#REF!,A36)+COUNTIF(总课表!#REF!,A36)+COUNTIF(总课表!#REF!,A36)+COUNTIF(总课表!#REF!,A36)+COUNTIF(总课表!#REF!,A36)+COUNTIF(总课表!#REF!,A36)</f>
        <v>#REF!</v>
      </c>
      <c r="E36" s="1" t="e">
        <f>COUNTIF(总课表!#REF!,A36)+COUNTIF(总课表!#REF!,A36)+COUNTIF(总课表!#REF!,A36)+COUNTIF(总课表!#REF!,A36)+COUNTIF(总课表!#REF!,A36)+COUNTIF(总课表!#REF!,A36)</f>
        <v>#REF!</v>
      </c>
      <c r="F36" s="1">
        <f>COUNTIF(总课表!C$4:C$7,A36)+COUNTIF(总课表!AA$4:AA$7,A36)+COUNTIF(总课表!AY$4:AY$7,A36)+COUNTIF(总课表!BW$4:BW$7,A36)+COUNTIF(总课表!CU$4:CU$7,A36)</f>
        <v>0</v>
      </c>
      <c r="G36" s="1">
        <f>COUNTIF(总课表!D$4:D$7,A36)+COUNTIF(总课表!AB$4:AB$7,A36)+COUNTIF(总课表!AZ$4:AZ$7,A36)+COUNTIF(总课表!BX$4:BX$7,A36)+COUNTIF(总课表!CV$4:CV$7,A36)</f>
        <v>0</v>
      </c>
      <c r="H36" s="1">
        <f>COUNTIF(总课表!E$4:E$7,A36)+COUNTIF(总课表!AC$4:AC$7,A36)+COUNTIF(总课表!BA$4:BA$7,A36)+COUNTIF(总课表!BY$4:BY$7,A36)+COUNTIF(总课表!CW$4:CW$7,A36)</f>
        <v>0</v>
      </c>
      <c r="I36" s="1">
        <f>COUNTIF(总课表!F$4:F$7,A36)+COUNTIF(总课表!AD$4:AD$7,A36)+COUNTIF(总课表!BB$4:BB$7,A36)+COUNTIF(总课表!BZ$4:BZ$7,A36)+COUNTIF(总课表!CX$4:CX$7,A36)</f>
        <v>0</v>
      </c>
      <c r="J36" s="1">
        <f>COUNTIF(总课表!G$4:G$7,A36)+COUNTIF(总课表!AE$4:AE$7,A36)+COUNTIF(总课表!BC$4:BC$7,A36)+COUNTIF(总课表!CA$4:CA$7,A36)+COUNTIF(总课表!CY$4:CY$7,A36)</f>
        <v>0</v>
      </c>
      <c r="K36" s="1">
        <f>COUNTIF(总课表!H$4:H$7,A36)+COUNTIF(总课表!AF$4:AF$7,A36)+COUNTIF(总课表!BD$4:BD$7,A36)+COUNTIF(总课表!CB$4:CB$7,A36)+COUNTIF(总课表!CZ$4:CZ$7,A36)</f>
        <v>0</v>
      </c>
      <c r="L36" s="1">
        <f>COUNTIF(总课表!I$4:I$7,A36)+COUNTIF(总课表!AG$4:AG$7,A36)+COUNTIF(总课表!BE$4:BE$7,A36)+COUNTIF(总课表!CC$4:CC$7,A36)+COUNTIF(总课表!DA$4:DA$7,A36)</f>
        <v>2</v>
      </c>
      <c r="M36" s="1">
        <f>COUNTIF(总课表!J$4:J$7,A36)+COUNTIF(总课表!AH$4:AH$7,A36)+COUNTIF(总课表!BF$4:BF$7,A36)+COUNTIF(总课表!CD$4:CD$7,A36)+COUNTIF(总课表!DB$4:DB$7,A36)</f>
        <v>2</v>
      </c>
      <c r="N36" s="1">
        <f>COUNTIF(总课表!K$4:K$7,A36)+COUNTIF(总课表!AI$4:AI$7,A36)+COUNTIF(总课表!BG$4:BG$7,A36)+COUNTIF(总课表!CE$4:CE$7,A36)+COUNTIF(总课表!DC$4:DC$7,A36)</f>
        <v>0</v>
      </c>
      <c r="O36" s="1">
        <f>COUNTIF(总课表!L$4:L$7,A36)+COUNTIF(总课表!AJ$4:AJ$7,A36)+COUNTIF(总课表!BH$4:BH$7,A36)+COUNTIF(总课表!CF$4:CF$7,A36)+COUNTIF(总课表!DD$4:DD$7,A36)</f>
        <v>0</v>
      </c>
      <c r="P36" s="1">
        <f>COUNTIF(总课表!M$4:M$7,A36)+COUNTIF(总课表!AK$4:AK$7,A36)+COUNTIF(总课表!BI$4:BI$7,A36)+COUNTIF(总课表!CG$4:CG$7,A36)+COUNTIF(总课表!DE$4:DE$7,A36)</f>
        <v>0</v>
      </c>
    </row>
    <row r="37" spans="1:16" hidden="1" x14ac:dyDescent="0.4">
      <c r="A37" s="1" t="s">
        <v>62</v>
      </c>
      <c r="B37" s="1" t="e">
        <f>COUNTIF(总课表!#REF!,A37)+COUNTIF(总课表!#REF!,A37)+COUNTIF(总课表!#REF!,A37)+COUNTIF(总课表!#REF!,A37)+COUNTIF(总课表!#REF!,A37)+COUNTIF(总课表!#REF!,A37)</f>
        <v>#REF!</v>
      </c>
      <c r="C37" s="1" t="e">
        <f>COUNTIF(总课表!#REF!,A37)+COUNTIF(总课表!#REF!,A37)+COUNTIF(总课表!#REF!,A37)+COUNTIF(总课表!#REF!,A37)+COUNTIF(总课表!#REF!,A37)+COUNTIF(总课表!#REF!,A37)</f>
        <v>#REF!</v>
      </c>
      <c r="D37" s="1" t="e">
        <f>COUNTIF(总课表!#REF!,A37)+COUNTIF(总课表!#REF!,A37)+COUNTIF(总课表!#REF!,A37)+COUNTIF(总课表!#REF!,A37)+COUNTIF(总课表!#REF!,A37)+COUNTIF(总课表!#REF!,A37)</f>
        <v>#REF!</v>
      </c>
      <c r="E37" s="1" t="e">
        <f>COUNTIF(总课表!#REF!,A37)+COUNTIF(总课表!#REF!,A37)+COUNTIF(总课表!#REF!,A37)+COUNTIF(总课表!#REF!,A37)+COUNTIF(总课表!#REF!,A37)+COUNTIF(总课表!#REF!,A37)</f>
        <v>#REF!</v>
      </c>
      <c r="F37" s="1">
        <f>COUNTIF(总课表!C$4:C$7,A37)+COUNTIF(总课表!AA$4:AA$7,A37)+COUNTIF(总课表!AY$4:AY$7,A37)+COUNTIF(总课表!BW$4:BW$7,A37)+COUNTIF(总课表!CU$4:CU$7,A37)</f>
        <v>2</v>
      </c>
      <c r="G37" s="1">
        <f>COUNTIF(总课表!D$4:D$7,A37)+COUNTIF(总课表!AB$4:AB$7,A37)+COUNTIF(总课表!AZ$4:AZ$7,A37)+COUNTIF(总课表!BX$4:BX$7,A37)+COUNTIF(总课表!CV$4:CV$7,A37)</f>
        <v>0</v>
      </c>
      <c r="H37" s="1">
        <f>COUNTIF(总课表!E$4:E$7,A37)+COUNTIF(总课表!AC$4:AC$7,A37)+COUNTIF(总课表!BA$4:BA$7,A37)+COUNTIF(总课表!BY$4:BY$7,A37)+COUNTIF(总课表!CW$4:CW$7,A37)</f>
        <v>0</v>
      </c>
      <c r="I37" s="1">
        <f>COUNTIF(总课表!F$4:F$7,A37)+COUNTIF(总课表!AD$4:AD$7,A37)+COUNTIF(总课表!BB$4:BB$7,A37)+COUNTIF(总课表!BZ$4:BZ$7,A37)+COUNTIF(总课表!CX$4:CX$7,A37)</f>
        <v>0</v>
      </c>
      <c r="J37" s="1">
        <f>COUNTIF(总课表!G$4:G$7,A37)+COUNTIF(总课表!AE$4:AE$7,A37)+COUNTIF(总课表!BC$4:BC$7,A37)+COUNTIF(总课表!CA$4:CA$7,A37)+COUNTIF(总课表!CY$4:CY$7,A37)</f>
        <v>2</v>
      </c>
      <c r="K37" s="1">
        <f>COUNTIF(总课表!H$4:H$7,A37)+COUNTIF(总课表!AF$4:AF$7,A37)+COUNTIF(总课表!BD$4:BD$7,A37)+COUNTIF(总课表!CB$4:CB$7,A37)+COUNTIF(总课表!CZ$4:CZ$7,A37)</f>
        <v>2</v>
      </c>
      <c r="L37" s="1">
        <f>COUNTIF(总课表!I$4:I$7,A37)+COUNTIF(总课表!AG$4:AG$7,A37)+COUNTIF(总课表!BE$4:BE$7,A37)+COUNTIF(总课表!CC$4:CC$7,A37)+COUNTIF(总课表!DA$4:DA$7,A37)</f>
        <v>0</v>
      </c>
      <c r="M37" s="1">
        <f>COUNTIF(总课表!J$4:J$7,A37)+COUNTIF(总课表!AH$4:AH$7,A37)+COUNTIF(总课表!BF$4:BF$7,A37)+COUNTIF(总课表!CD$4:CD$7,A37)+COUNTIF(总课表!DB$4:DB$7,A37)</f>
        <v>0</v>
      </c>
      <c r="N37" s="1">
        <f>COUNTIF(总课表!K$4:K$7,A37)+COUNTIF(总课表!AI$4:AI$7,A37)+COUNTIF(总课表!BG$4:BG$7,A37)+COUNTIF(总课表!CE$4:CE$7,A37)+COUNTIF(总课表!DC$4:DC$7,A37)</f>
        <v>0</v>
      </c>
      <c r="O37" s="1">
        <f>COUNTIF(总课表!L$4:L$7,A37)+COUNTIF(总课表!AJ$4:AJ$7,A37)+COUNTIF(总课表!BH$4:BH$7,A37)+COUNTIF(总课表!CF$4:CF$7,A37)+COUNTIF(总课表!DD$4:DD$7,A37)</f>
        <v>0</v>
      </c>
      <c r="P37" s="1">
        <f>COUNTIF(总课表!M$4:M$7,A37)+COUNTIF(总课表!AK$4:AK$7,A37)+COUNTIF(总课表!BI$4:BI$7,A37)+COUNTIF(总课表!CG$4:CG$7,A37)+COUNTIF(总课表!DE$4:DE$7,A37)</f>
        <v>0</v>
      </c>
    </row>
    <row r="38" spans="1:16" hidden="1" x14ac:dyDescent="0.4">
      <c r="A38" s="1" t="s">
        <v>54</v>
      </c>
      <c r="B38" s="1" t="e">
        <f>COUNTIF(总课表!#REF!,A38)+COUNTIF(总课表!#REF!,A38)+COUNTIF(总课表!#REF!,A38)+COUNTIF(总课表!#REF!,A38)+COUNTIF(总课表!#REF!,A38)+COUNTIF(总课表!#REF!,A38)</f>
        <v>#REF!</v>
      </c>
      <c r="C38" s="1" t="e">
        <f>COUNTIF(总课表!#REF!,A38)+COUNTIF(总课表!#REF!,A38)+COUNTIF(总课表!#REF!,A38)+COUNTIF(总课表!#REF!,A38)+COUNTIF(总课表!#REF!,A38)+COUNTIF(总课表!#REF!,A38)</f>
        <v>#REF!</v>
      </c>
      <c r="D38" s="1" t="e">
        <f>COUNTIF(总课表!#REF!,A38)+COUNTIF(总课表!#REF!,A38)+COUNTIF(总课表!#REF!,A38)+COUNTIF(总课表!#REF!,A38)+COUNTIF(总课表!#REF!,A38)+COUNTIF(总课表!#REF!,A38)</f>
        <v>#REF!</v>
      </c>
      <c r="E38" s="1" t="e">
        <f>COUNTIF(总课表!#REF!,A38)+COUNTIF(总课表!#REF!,A38)+COUNTIF(总课表!#REF!,A38)+COUNTIF(总课表!#REF!,A38)+COUNTIF(总课表!#REF!,A38)+COUNTIF(总课表!#REF!,A38)</f>
        <v>#REF!</v>
      </c>
      <c r="F38" s="1">
        <f>COUNTIF(总课表!C$4:C$7,A38)+COUNTIF(总课表!AA$4:AA$7,A38)+COUNTIF(总课表!AY$4:AY$7,A38)+COUNTIF(总课表!BW$4:BW$7,A38)+COUNTIF(总课表!CU$4:CU$7,A38)</f>
        <v>0</v>
      </c>
      <c r="G38" s="1">
        <f>COUNTIF(总课表!D$4:D$7,A38)+COUNTIF(总课表!AB$4:AB$7,A38)+COUNTIF(总课表!AZ$4:AZ$7,A38)+COUNTIF(总课表!BX$4:BX$7,A38)+COUNTIF(总课表!CV$4:CV$7,A38)</f>
        <v>0</v>
      </c>
      <c r="H38" s="1">
        <f>COUNTIF(总课表!E$4:E$7,A38)+COUNTIF(总课表!AC$4:AC$7,A38)+COUNTIF(总课表!BA$4:BA$7,A38)+COUNTIF(总课表!BY$4:BY$7,A38)+COUNTIF(总课表!CW$4:CW$7,A38)</f>
        <v>0</v>
      </c>
      <c r="I38" s="1">
        <f>COUNTIF(总课表!F$4:F$7,A38)+COUNTIF(总课表!AD$4:AD$7,A38)+COUNTIF(总课表!BB$4:BB$7,A38)+COUNTIF(总课表!BZ$4:BZ$7,A38)+COUNTIF(总课表!CX$4:CX$7,A38)</f>
        <v>0</v>
      </c>
      <c r="J38" s="1">
        <f>COUNTIF(总课表!G$4:G$7,A38)+COUNTIF(总课表!AE$4:AE$7,A38)+COUNTIF(总课表!BC$4:BC$7,A38)+COUNTIF(总课表!CA$4:CA$7,A38)+COUNTIF(总课表!CY$4:CY$7,A38)</f>
        <v>0</v>
      </c>
      <c r="K38" s="1">
        <f>COUNTIF(总课表!H$4:H$7,A38)+COUNTIF(总课表!AF$4:AF$7,A38)+COUNTIF(总课表!BD$4:BD$7,A38)+COUNTIF(总课表!CB$4:CB$7,A38)+COUNTIF(总课表!CZ$4:CZ$7,A38)</f>
        <v>0</v>
      </c>
      <c r="L38" s="1">
        <f>COUNTIF(总课表!I$4:I$7,A38)+COUNTIF(总课表!AG$4:AG$7,A38)+COUNTIF(总课表!BE$4:BE$7,A38)+COUNTIF(总课表!CC$4:CC$7,A38)+COUNTIF(总课表!DA$4:DA$7,A38)</f>
        <v>0</v>
      </c>
      <c r="M38" s="1">
        <f>COUNTIF(总课表!J$4:J$7,A38)+COUNTIF(总课表!AH$4:AH$7,A38)+COUNTIF(总课表!BF$4:BF$7,A38)+COUNTIF(总课表!CD$4:CD$7,A38)+COUNTIF(总课表!DB$4:DB$7,A38)</f>
        <v>0</v>
      </c>
      <c r="N38" s="1">
        <f>COUNTIF(总课表!K$4:K$7,A38)+COUNTIF(总课表!AI$4:AI$7,A38)+COUNTIF(总课表!BG$4:BG$7,A38)+COUNTIF(总课表!CE$4:CE$7,A38)+COUNTIF(总课表!DC$4:DC$7,A38)</f>
        <v>0</v>
      </c>
      <c r="O38" s="1">
        <f>COUNTIF(总课表!L$4:L$7,A38)+COUNTIF(总课表!AJ$4:AJ$7,A38)+COUNTIF(总课表!BH$4:BH$7,A38)+COUNTIF(总课表!CF$4:CF$7,A38)+COUNTIF(总课表!DD$4:DD$7,A38)</f>
        <v>0</v>
      </c>
      <c r="P38" s="1">
        <f>COUNTIF(总课表!M$4:M$7,A38)+COUNTIF(总课表!AK$4:AK$7,A38)+COUNTIF(总课表!BI$4:BI$7,A38)+COUNTIF(总课表!CG$4:CG$7,A38)+COUNTIF(总课表!DE$4:DE$7,A38)</f>
        <v>0</v>
      </c>
    </row>
    <row r="39" spans="1:16" hidden="1" x14ac:dyDescent="0.4">
      <c r="A39" s="1" t="s">
        <v>58</v>
      </c>
      <c r="B39" s="1" t="e">
        <f>COUNTIF(总课表!#REF!,A39)+COUNTIF(总课表!#REF!,A39)+COUNTIF(总课表!#REF!,A39)+COUNTIF(总课表!#REF!,A39)+COUNTIF(总课表!#REF!,A39)+COUNTIF(总课表!#REF!,A39)</f>
        <v>#REF!</v>
      </c>
      <c r="C39" s="1" t="e">
        <f>COUNTIF(总课表!#REF!,A39)+COUNTIF(总课表!#REF!,A39)+COUNTIF(总课表!#REF!,A39)+COUNTIF(总课表!#REF!,A39)+COUNTIF(总课表!#REF!,A39)+COUNTIF(总课表!#REF!,A39)</f>
        <v>#REF!</v>
      </c>
      <c r="D39" s="1" t="e">
        <f>COUNTIF(总课表!#REF!,A39)+COUNTIF(总课表!#REF!,A39)+COUNTIF(总课表!#REF!,A39)+COUNTIF(总课表!#REF!,A39)+COUNTIF(总课表!#REF!,A39)+COUNTIF(总课表!#REF!,A39)</f>
        <v>#REF!</v>
      </c>
      <c r="E39" s="1" t="e">
        <f>COUNTIF(总课表!#REF!,A39)+COUNTIF(总课表!#REF!,A39)+COUNTIF(总课表!#REF!,A39)+COUNTIF(总课表!#REF!,A39)+COUNTIF(总课表!#REF!,A39)+COUNTIF(总课表!#REF!,A39)</f>
        <v>#REF!</v>
      </c>
      <c r="F39" s="1">
        <f>COUNTIF(总课表!C$4:C$7,A39)+COUNTIF(总课表!AA$4:AA$7,A39)+COUNTIF(总课表!AY$4:AY$7,A39)+COUNTIF(总课表!BW$4:BW$7,A39)+COUNTIF(总课表!CU$4:CU$7,A39)</f>
        <v>0</v>
      </c>
      <c r="G39" s="1">
        <f>COUNTIF(总课表!D$4:D$7,A39)+COUNTIF(总课表!AB$4:AB$7,A39)+COUNTIF(总课表!AZ$4:AZ$7,A39)+COUNTIF(总课表!BX$4:BX$7,A39)+COUNTIF(总课表!CV$4:CV$7,A39)</f>
        <v>0</v>
      </c>
      <c r="H39" s="1">
        <f>COUNTIF(总课表!E$4:E$7,A39)+COUNTIF(总课表!AC$4:AC$7,A39)+COUNTIF(总课表!BA$4:BA$7,A39)+COUNTIF(总课表!BY$4:BY$7,A39)+COUNTIF(总课表!CW$4:CW$7,A39)</f>
        <v>0</v>
      </c>
      <c r="I39" s="1">
        <f>COUNTIF(总课表!F$4:F$7,A39)+COUNTIF(总课表!AD$4:AD$7,A39)+COUNTIF(总课表!BB$4:BB$7,A39)+COUNTIF(总课表!BZ$4:BZ$7,A39)+COUNTIF(总课表!CX$4:CX$7,A39)</f>
        <v>0</v>
      </c>
      <c r="J39" s="1">
        <f>COUNTIF(总课表!G$4:G$7,A39)+COUNTIF(总课表!AE$4:AE$7,A39)+COUNTIF(总课表!BC$4:BC$7,A39)+COUNTIF(总课表!CA$4:CA$7,A39)+COUNTIF(总课表!CY$4:CY$7,A39)</f>
        <v>0</v>
      </c>
      <c r="K39" s="1">
        <f>COUNTIF(总课表!H$4:H$7,A39)+COUNTIF(总课表!AF$4:AF$7,A39)+COUNTIF(总课表!BD$4:BD$7,A39)+COUNTIF(总课表!CB$4:CB$7,A39)+COUNTIF(总课表!CZ$4:CZ$7,A39)</f>
        <v>0</v>
      </c>
      <c r="L39" s="1">
        <f>COUNTIF(总课表!I$4:I$7,A39)+COUNTIF(总课表!AG$4:AG$7,A39)+COUNTIF(总课表!BE$4:BE$7,A39)+COUNTIF(总课表!CC$4:CC$7,A39)+COUNTIF(总课表!DA$4:DA$7,A39)</f>
        <v>0</v>
      </c>
      <c r="M39" s="1">
        <f>COUNTIF(总课表!J$4:J$7,A39)+COUNTIF(总课表!AH$4:AH$7,A39)+COUNTIF(总课表!BF$4:BF$7,A39)+COUNTIF(总课表!CD$4:CD$7,A39)+COUNTIF(总课表!DB$4:DB$7,A39)</f>
        <v>0</v>
      </c>
      <c r="N39" s="1">
        <f>COUNTIF(总课表!K$4:K$7,A39)+COUNTIF(总课表!AI$4:AI$7,A39)+COUNTIF(总课表!BG$4:BG$7,A39)+COUNTIF(总课表!CE$4:CE$7,A39)+COUNTIF(总课表!DC$4:DC$7,A39)</f>
        <v>0</v>
      </c>
      <c r="O39" s="1">
        <f>COUNTIF(总课表!L$4:L$7,A39)+COUNTIF(总课表!AJ$4:AJ$7,A39)+COUNTIF(总课表!BH$4:BH$7,A39)+COUNTIF(总课表!CF$4:CF$7,A39)+COUNTIF(总课表!DD$4:DD$7,A39)</f>
        <v>0</v>
      </c>
      <c r="P39" s="1">
        <f>COUNTIF(总课表!M$4:M$7,A39)+COUNTIF(总课表!AK$4:AK$7,A39)+COUNTIF(总课表!BI$4:BI$7,A39)+COUNTIF(总课表!CG$4:CG$7,A39)+COUNTIF(总课表!DE$4:DE$7,A39)</f>
        <v>0</v>
      </c>
    </row>
    <row r="40" spans="1:16" hidden="1" x14ac:dyDescent="0.4">
      <c r="A40" s="1" t="s">
        <v>243</v>
      </c>
      <c r="B40" s="1" t="e">
        <f>COUNTIF(总课表!#REF!,A40)+COUNTIF(总课表!#REF!,A40)+COUNTIF(总课表!#REF!,A40)+COUNTIF(总课表!#REF!,A40)+COUNTIF(总课表!#REF!,A40)+COUNTIF(总课表!#REF!,A40)</f>
        <v>#REF!</v>
      </c>
      <c r="C40" s="1" t="e">
        <f>COUNTIF(总课表!#REF!,A40)+COUNTIF(总课表!#REF!,A40)+COUNTIF(总课表!#REF!,A40)+COUNTIF(总课表!#REF!,A40)+COUNTIF(总课表!#REF!,A40)+COUNTIF(总课表!#REF!,A40)</f>
        <v>#REF!</v>
      </c>
      <c r="D40" s="1" t="e">
        <f>COUNTIF(总课表!#REF!,A40)+COUNTIF(总课表!#REF!,A40)+COUNTIF(总课表!#REF!,A40)+COUNTIF(总课表!#REF!,A40)+COUNTIF(总课表!#REF!,A40)+COUNTIF(总课表!#REF!,A40)</f>
        <v>#REF!</v>
      </c>
      <c r="E40" s="1" t="e">
        <f>COUNTIF(总课表!#REF!,A40)+COUNTIF(总课表!#REF!,A40)+COUNTIF(总课表!#REF!,A40)+COUNTIF(总课表!#REF!,A40)+COUNTIF(总课表!#REF!,A40)+COUNTIF(总课表!#REF!,A40)</f>
        <v>#REF!</v>
      </c>
      <c r="F40" s="1">
        <f>COUNTIF(总课表!C$4:C$7,A40)+COUNTIF(总课表!AA$4:AA$7,A40)+COUNTIF(总课表!AY$4:AY$7,A40)+COUNTIF(总课表!BW$4:BW$7,A40)+COUNTIF(总课表!CU$4:CU$7,A40)</f>
        <v>0</v>
      </c>
      <c r="G40" s="1">
        <f>COUNTIF(总课表!D$4:D$7,A40)+COUNTIF(总课表!AB$4:AB$7,A40)+COUNTIF(总课表!AZ$4:AZ$7,A40)+COUNTIF(总课表!BX$4:BX$7,A40)+COUNTIF(总课表!CV$4:CV$7,A40)</f>
        <v>0</v>
      </c>
      <c r="H40" s="1">
        <f>COUNTIF(总课表!E$4:E$7,A40)+COUNTIF(总课表!AC$4:AC$7,A40)+COUNTIF(总课表!BA$4:BA$7,A40)+COUNTIF(总课表!BY$4:BY$7,A40)+COUNTIF(总课表!CW$4:CW$7,A40)</f>
        <v>0</v>
      </c>
      <c r="I40" s="1">
        <f>COUNTIF(总课表!F$4:F$7,A40)+COUNTIF(总课表!AD$4:AD$7,A40)+COUNTIF(总课表!BB$4:BB$7,A40)+COUNTIF(总课表!BZ$4:BZ$7,A40)+COUNTIF(总课表!CX$4:CX$7,A40)</f>
        <v>0</v>
      </c>
      <c r="J40" s="1">
        <f>COUNTIF(总课表!G$4:G$7,A40)+COUNTIF(总课表!AE$4:AE$7,A40)+COUNTIF(总课表!BC$4:BC$7,A40)+COUNTIF(总课表!CA$4:CA$7,A40)+COUNTIF(总课表!CY$4:CY$7,A40)</f>
        <v>0</v>
      </c>
      <c r="K40" s="1">
        <f>COUNTIF(总课表!H$4:H$7,A40)+COUNTIF(总课表!AF$4:AF$7,A40)+COUNTIF(总课表!BD$4:BD$7,A40)+COUNTIF(总课表!CB$4:CB$7,A40)+COUNTIF(总课表!CZ$4:CZ$7,A40)</f>
        <v>0</v>
      </c>
      <c r="L40" s="1">
        <f>COUNTIF(总课表!I$4:I$7,A40)+COUNTIF(总课表!AG$4:AG$7,A40)+COUNTIF(总课表!BE$4:BE$7,A40)+COUNTIF(总课表!CC$4:CC$7,A40)+COUNTIF(总课表!DA$4:DA$7,A40)</f>
        <v>0</v>
      </c>
      <c r="M40" s="1">
        <f>COUNTIF(总课表!J$4:J$7,A40)+COUNTIF(总课表!AH$4:AH$7,A40)+COUNTIF(总课表!BF$4:BF$7,A40)+COUNTIF(总课表!CD$4:CD$7,A40)+COUNTIF(总课表!DB$4:DB$7,A40)</f>
        <v>0</v>
      </c>
      <c r="N40" s="1">
        <f>COUNTIF(总课表!K$4:K$7,A40)+COUNTIF(总课表!AI$4:AI$7,A40)+COUNTIF(总课表!BG$4:BG$7,A40)+COUNTIF(总课表!CE$4:CE$7,A40)+COUNTIF(总课表!DC$4:DC$7,A40)</f>
        <v>0</v>
      </c>
      <c r="O40" s="1">
        <f>COUNTIF(总课表!L$4:L$7,A40)+COUNTIF(总课表!AJ$4:AJ$7,A40)+COUNTIF(总课表!BH$4:BH$7,A40)+COUNTIF(总课表!CF$4:CF$7,A40)+COUNTIF(总课表!DD$4:DD$7,A40)</f>
        <v>0</v>
      </c>
      <c r="P40" s="1">
        <f>COUNTIF(总课表!M$4:M$7,A40)+COUNTIF(总课表!AK$4:AK$7,A40)+COUNTIF(总课表!BI$4:BI$7,A40)+COUNTIF(总课表!CG$4:CG$7,A40)+COUNTIF(总课表!DE$4:DE$7,A40)</f>
        <v>0</v>
      </c>
    </row>
    <row r="41" spans="1:16" hidden="1" x14ac:dyDescent="0.4">
      <c r="A41" s="1" t="s">
        <v>244</v>
      </c>
      <c r="B41" s="1" t="e">
        <f>COUNTIF(总课表!#REF!,A41)+COUNTIF(总课表!#REF!,A41)+COUNTIF(总课表!#REF!,A41)+COUNTIF(总课表!#REF!,A41)+COUNTIF(总课表!#REF!,A41)+COUNTIF(总课表!#REF!,A41)</f>
        <v>#REF!</v>
      </c>
      <c r="C41" s="1" t="e">
        <f>COUNTIF(总课表!#REF!,A41)+COUNTIF(总课表!#REF!,A41)+COUNTIF(总课表!#REF!,A41)+COUNTIF(总课表!#REF!,A41)+COUNTIF(总课表!#REF!,A41)+COUNTIF(总课表!#REF!,A41)</f>
        <v>#REF!</v>
      </c>
      <c r="D41" s="1" t="e">
        <f>COUNTIF(总课表!#REF!,A41)+COUNTIF(总课表!#REF!,A41)+COUNTIF(总课表!#REF!,A41)+COUNTIF(总课表!#REF!,A41)+COUNTIF(总课表!#REF!,A41)+COUNTIF(总课表!#REF!,A41)</f>
        <v>#REF!</v>
      </c>
      <c r="E41" s="1" t="e">
        <f>COUNTIF(总课表!#REF!,A41)+COUNTIF(总课表!#REF!,A41)+COUNTIF(总课表!#REF!,A41)+COUNTIF(总课表!#REF!,A41)+COUNTIF(总课表!#REF!,A41)+COUNTIF(总课表!#REF!,A41)</f>
        <v>#REF!</v>
      </c>
      <c r="F41" s="1">
        <f>COUNTIF(总课表!C$4:C$7,A41)+COUNTIF(总课表!AA$4:AA$7,A41)+COUNTIF(总课表!AY$4:AY$7,A41)+COUNTIF(总课表!BW$4:BW$7,A41)+COUNTIF(总课表!CU$4:CU$7,A41)</f>
        <v>0</v>
      </c>
      <c r="G41" s="1">
        <f>COUNTIF(总课表!D$4:D$7,A41)+COUNTIF(总课表!AB$4:AB$7,A41)+COUNTIF(总课表!AZ$4:AZ$7,A41)+COUNTIF(总课表!BX$4:BX$7,A41)+COUNTIF(总课表!CV$4:CV$7,A41)</f>
        <v>0</v>
      </c>
      <c r="H41" s="1">
        <f>COUNTIF(总课表!E$4:E$7,A41)+COUNTIF(总课表!AC$4:AC$7,A41)+COUNTIF(总课表!BA$4:BA$7,A41)+COUNTIF(总课表!BY$4:BY$7,A41)+COUNTIF(总课表!CW$4:CW$7,A41)</f>
        <v>0</v>
      </c>
      <c r="I41" s="1">
        <f>COUNTIF(总课表!F$4:F$7,A41)+COUNTIF(总课表!AD$4:AD$7,A41)+COUNTIF(总课表!BB$4:BB$7,A41)+COUNTIF(总课表!BZ$4:BZ$7,A41)+COUNTIF(总课表!CX$4:CX$7,A41)</f>
        <v>0</v>
      </c>
      <c r="J41" s="1">
        <f>COUNTIF(总课表!G$4:G$7,A41)+COUNTIF(总课表!AE$4:AE$7,A41)+COUNTIF(总课表!BC$4:BC$7,A41)+COUNTIF(总课表!CA$4:CA$7,A41)+COUNTIF(总课表!CY$4:CY$7,A41)</f>
        <v>0</v>
      </c>
      <c r="K41" s="1">
        <f>COUNTIF(总课表!H$4:H$7,A41)+COUNTIF(总课表!AF$4:AF$7,A41)+COUNTIF(总课表!BD$4:BD$7,A41)+COUNTIF(总课表!CB$4:CB$7,A41)+COUNTIF(总课表!CZ$4:CZ$7,A41)</f>
        <v>0</v>
      </c>
      <c r="L41" s="1">
        <f>COUNTIF(总课表!I$4:I$7,A41)+COUNTIF(总课表!AG$4:AG$7,A41)+COUNTIF(总课表!BE$4:BE$7,A41)+COUNTIF(总课表!CC$4:CC$7,A41)+COUNTIF(总课表!DA$4:DA$7,A41)</f>
        <v>0</v>
      </c>
      <c r="M41" s="1">
        <f>COUNTIF(总课表!J$4:J$7,A41)+COUNTIF(总课表!AH$4:AH$7,A41)+COUNTIF(总课表!BF$4:BF$7,A41)+COUNTIF(总课表!CD$4:CD$7,A41)+COUNTIF(总课表!DB$4:DB$7,A41)</f>
        <v>0</v>
      </c>
      <c r="N41" s="1">
        <f>COUNTIF(总课表!K$4:K$7,A41)+COUNTIF(总课表!AI$4:AI$7,A41)+COUNTIF(总课表!BG$4:BG$7,A41)+COUNTIF(总课表!CE$4:CE$7,A41)+COUNTIF(总课表!DC$4:DC$7,A41)</f>
        <v>0</v>
      </c>
      <c r="O41" s="1">
        <f>COUNTIF(总课表!L$4:L$7,A41)+COUNTIF(总课表!AJ$4:AJ$7,A41)+COUNTIF(总课表!BH$4:BH$7,A41)+COUNTIF(总课表!CF$4:CF$7,A41)+COUNTIF(总课表!DD$4:DD$7,A41)</f>
        <v>0</v>
      </c>
      <c r="P41" s="1">
        <f>COUNTIF(总课表!M$4:M$7,A41)+COUNTIF(总课表!AK$4:AK$7,A41)+COUNTIF(总课表!BI$4:BI$7,A41)+COUNTIF(总课表!CG$4:CG$7,A41)+COUNTIF(总课表!DE$4:DE$7,A41)</f>
        <v>0</v>
      </c>
    </row>
    <row r="42" spans="1:16" hidden="1" x14ac:dyDescent="0.4">
      <c r="A42" s="1" t="s">
        <v>81</v>
      </c>
      <c r="B42" s="1" t="e">
        <f>COUNTIF(总课表!#REF!,A42)+COUNTIF(总课表!#REF!,A42)+COUNTIF(总课表!#REF!,A42)+COUNTIF(总课表!#REF!,A42)+COUNTIF(总课表!#REF!,A42)+COUNTIF(总课表!#REF!,A42)</f>
        <v>#REF!</v>
      </c>
      <c r="C42" s="1" t="e">
        <f>COUNTIF(总课表!#REF!,A42)+COUNTIF(总课表!#REF!,A42)+COUNTIF(总课表!#REF!,A42)+COUNTIF(总课表!#REF!,A42)+COUNTIF(总课表!#REF!,A42)+COUNTIF(总课表!#REF!,A42)</f>
        <v>#REF!</v>
      </c>
      <c r="D42" s="1" t="e">
        <f>COUNTIF(总课表!#REF!,A42)+COUNTIF(总课表!#REF!,A42)+COUNTIF(总课表!#REF!,A42)+COUNTIF(总课表!#REF!,A42)+COUNTIF(总课表!#REF!,A42)+COUNTIF(总课表!#REF!,A42)</f>
        <v>#REF!</v>
      </c>
      <c r="E42" s="1" t="e">
        <f>COUNTIF(总课表!#REF!,A42)+COUNTIF(总课表!#REF!,A42)+COUNTIF(总课表!#REF!,A42)+COUNTIF(总课表!#REF!,A42)+COUNTIF(总课表!#REF!,A42)+COUNTIF(总课表!#REF!,A42)</f>
        <v>#REF!</v>
      </c>
      <c r="F42" s="1">
        <f>COUNTIF(总课表!C$4:C$7,A42)+COUNTIF(总课表!AA$4:AA$7,A42)+COUNTIF(总课表!AY$4:AY$7,A42)+COUNTIF(总课表!BW$4:BW$7,A42)+COUNTIF(总课表!CU$4:CU$7,A42)</f>
        <v>0</v>
      </c>
      <c r="G42" s="1">
        <f>COUNTIF(总课表!D$4:D$7,A42)+COUNTIF(总课表!AB$4:AB$7,A42)+COUNTIF(总课表!AZ$4:AZ$7,A42)+COUNTIF(总课表!BX$4:BX$7,A42)+COUNTIF(总课表!CV$4:CV$7,A42)</f>
        <v>0</v>
      </c>
      <c r="H42" s="1">
        <f>COUNTIF(总课表!E$4:E$7,A42)+COUNTIF(总课表!AC$4:AC$7,A42)+COUNTIF(总课表!BA$4:BA$7,A42)+COUNTIF(总课表!BY$4:BY$7,A42)+COUNTIF(总课表!CW$4:CW$7,A42)</f>
        <v>0</v>
      </c>
      <c r="I42" s="1">
        <f>COUNTIF(总课表!F$4:F$7,A42)+COUNTIF(总课表!AD$4:AD$7,A42)+COUNTIF(总课表!BB$4:BB$7,A42)+COUNTIF(总课表!BZ$4:BZ$7,A42)+COUNTIF(总课表!CX$4:CX$7,A42)</f>
        <v>0</v>
      </c>
      <c r="J42" s="1">
        <f>COUNTIF(总课表!G$4:G$7,A42)+COUNTIF(总课表!AE$4:AE$7,A42)+COUNTIF(总课表!BC$4:BC$7,A42)+COUNTIF(总课表!CA$4:CA$7,A42)+COUNTIF(总课表!CY$4:CY$7,A42)</f>
        <v>0</v>
      </c>
      <c r="K42" s="1">
        <f>COUNTIF(总课表!H$4:H$7,A42)+COUNTIF(总课表!AF$4:AF$7,A42)+COUNTIF(总课表!BD$4:BD$7,A42)+COUNTIF(总课表!CB$4:CB$7,A42)+COUNTIF(总课表!CZ$4:CZ$7,A42)</f>
        <v>0</v>
      </c>
      <c r="L42" s="1">
        <f>COUNTIF(总课表!I$4:I$7,A42)+COUNTIF(总课表!AG$4:AG$7,A42)+COUNTIF(总课表!BE$4:BE$7,A42)+COUNTIF(总课表!CC$4:CC$7,A42)+COUNTIF(总课表!DA$4:DA$7,A42)</f>
        <v>0</v>
      </c>
      <c r="M42" s="1">
        <f>COUNTIF(总课表!J$4:J$7,A42)+COUNTIF(总课表!AH$4:AH$7,A42)+COUNTIF(总课表!BF$4:BF$7,A42)+COUNTIF(总课表!CD$4:CD$7,A42)+COUNTIF(总课表!DB$4:DB$7,A42)</f>
        <v>0</v>
      </c>
      <c r="N42" s="1">
        <f>COUNTIF(总课表!K$4:K$7,A42)+COUNTIF(总课表!AI$4:AI$7,A42)+COUNTIF(总课表!BG$4:BG$7,A42)+COUNTIF(总课表!CE$4:CE$7,A42)+COUNTIF(总课表!DC$4:DC$7,A42)</f>
        <v>0</v>
      </c>
      <c r="O42" s="1">
        <f>COUNTIF(总课表!L$4:L$7,A42)+COUNTIF(总课表!AJ$4:AJ$7,A42)+COUNTIF(总课表!BH$4:BH$7,A42)+COUNTIF(总课表!CF$4:CF$7,A42)+COUNTIF(总课表!DD$4:DD$7,A42)</f>
        <v>0</v>
      </c>
      <c r="P42" s="1">
        <f>COUNTIF(总课表!M$4:M$7,A42)+COUNTIF(总课表!AK$4:AK$7,A42)+COUNTIF(总课表!BI$4:BI$7,A42)+COUNTIF(总课表!CG$4:CG$7,A42)+COUNTIF(总课表!DE$4:DE$7,A42)</f>
        <v>0</v>
      </c>
    </row>
    <row r="43" spans="1:16" hidden="1" x14ac:dyDescent="0.4">
      <c r="A43" s="1" t="s">
        <v>85</v>
      </c>
      <c r="B43" s="1" t="e">
        <f>COUNTIF(总课表!#REF!,A43)+COUNTIF(总课表!#REF!,A43)+COUNTIF(总课表!#REF!,A43)+COUNTIF(总课表!#REF!,A43)+COUNTIF(总课表!#REF!,A43)+COUNTIF(总课表!#REF!,A43)</f>
        <v>#REF!</v>
      </c>
      <c r="C43" s="1" t="e">
        <f>COUNTIF(总课表!#REF!,A43)+COUNTIF(总课表!#REF!,A43)+COUNTIF(总课表!#REF!,A43)+COUNTIF(总课表!#REF!,A43)+COUNTIF(总课表!#REF!,A43)+COUNTIF(总课表!#REF!,A43)</f>
        <v>#REF!</v>
      </c>
      <c r="D43" s="1" t="e">
        <f>COUNTIF(总课表!#REF!,A43)+COUNTIF(总课表!#REF!,A43)+COUNTIF(总课表!#REF!,A43)+COUNTIF(总课表!#REF!,A43)+COUNTIF(总课表!#REF!,A43)+COUNTIF(总课表!#REF!,A43)</f>
        <v>#REF!</v>
      </c>
      <c r="E43" s="1" t="e">
        <f>COUNTIF(总课表!#REF!,A43)+COUNTIF(总课表!#REF!,A43)+COUNTIF(总课表!#REF!,A43)+COUNTIF(总课表!#REF!,A43)+COUNTIF(总课表!#REF!,A43)+COUNTIF(总课表!#REF!,A43)</f>
        <v>#REF!</v>
      </c>
      <c r="F43" s="1">
        <f>COUNTIF(总课表!C$4:C$7,A43)+COUNTIF(总课表!AA$4:AA$7,A43)+COUNTIF(总课表!AY$4:AY$7,A43)+COUNTIF(总课表!BW$4:BW$7,A43)+COUNTIF(总课表!CU$4:CU$7,A43)</f>
        <v>0</v>
      </c>
      <c r="G43" s="1">
        <f>COUNTIF(总课表!D$4:D$7,A43)+COUNTIF(总课表!AB$4:AB$7,A43)+COUNTIF(总课表!AZ$4:AZ$7,A43)+COUNTIF(总课表!BX$4:BX$7,A43)+COUNTIF(总课表!CV$4:CV$7,A43)</f>
        <v>0</v>
      </c>
      <c r="H43" s="1">
        <f>COUNTIF(总课表!E$4:E$7,A43)+COUNTIF(总课表!AC$4:AC$7,A43)+COUNTIF(总课表!BA$4:BA$7,A43)+COUNTIF(总课表!BY$4:BY$7,A43)+COUNTIF(总课表!CW$4:CW$7,A43)</f>
        <v>0</v>
      </c>
      <c r="I43" s="1">
        <f>COUNTIF(总课表!F$4:F$7,A43)+COUNTIF(总课表!AD$4:AD$7,A43)+COUNTIF(总课表!BB$4:BB$7,A43)+COUNTIF(总课表!BZ$4:BZ$7,A43)+COUNTIF(总课表!CX$4:CX$7,A43)</f>
        <v>0</v>
      </c>
      <c r="J43" s="1">
        <f>COUNTIF(总课表!G$4:G$7,A43)+COUNTIF(总课表!AE$4:AE$7,A43)+COUNTIF(总课表!BC$4:BC$7,A43)+COUNTIF(总课表!CA$4:CA$7,A43)+COUNTIF(总课表!CY$4:CY$7,A43)</f>
        <v>0</v>
      </c>
      <c r="K43" s="1">
        <f>COUNTIF(总课表!H$4:H$7,A43)+COUNTIF(总课表!AF$4:AF$7,A43)+COUNTIF(总课表!BD$4:BD$7,A43)+COUNTIF(总课表!CB$4:CB$7,A43)+COUNTIF(总课表!CZ$4:CZ$7,A43)</f>
        <v>0</v>
      </c>
      <c r="L43" s="1">
        <f>COUNTIF(总课表!I$4:I$7,A43)+COUNTIF(总课表!AG$4:AG$7,A43)+COUNTIF(总课表!BE$4:BE$7,A43)+COUNTIF(总课表!CC$4:CC$7,A43)+COUNTIF(总课表!DA$4:DA$7,A43)</f>
        <v>0</v>
      </c>
      <c r="M43" s="1">
        <f>COUNTIF(总课表!J$4:J$7,A43)+COUNTIF(总课表!AH$4:AH$7,A43)+COUNTIF(总课表!BF$4:BF$7,A43)+COUNTIF(总课表!CD$4:CD$7,A43)+COUNTIF(总课表!DB$4:DB$7,A43)</f>
        <v>0</v>
      </c>
      <c r="N43" s="1">
        <f>COUNTIF(总课表!K$4:K$7,A43)+COUNTIF(总课表!AI$4:AI$7,A43)+COUNTIF(总课表!BG$4:BG$7,A43)+COUNTIF(总课表!CE$4:CE$7,A43)+COUNTIF(总课表!DC$4:DC$7,A43)</f>
        <v>0</v>
      </c>
      <c r="O43" s="1">
        <f>COUNTIF(总课表!L$4:L$7,A43)+COUNTIF(总课表!AJ$4:AJ$7,A43)+COUNTIF(总课表!BH$4:BH$7,A43)+COUNTIF(总课表!CF$4:CF$7,A43)+COUNTIF(总课表!DD$4:DD$7,A43)</f>
        <v>0</v>
      </c>
      <c r="P43" s="1">
        <f>COUNTIF(总课表!M$4:M$7,A43)+COUNTIF(总课表!AK$4:AK$7,A43)+COUNTIF(总课表!BI$4:BI$7,A43)+COUNTIF(总课表!CG$4:CG$7,A43)+COUNTIF(总课表!DE$4:DE$7,A43)</f>
        <v>0</v>
      </c>
    </row>
    <row r="44" spans="1:16" hidden="1" x14ac:dyDescent="0.4">
      <c r="A44" s="1" t="s">
        <v>87</v>
      </c>
      <c r="B44" s="1" t="e">
        <f>COUNTIF(总课表!#REF!,A44)+COUNTIF(总课表!#REF!,A44)+COUNTIF(总课表!#REF!,A44)+COUNTIF(总课表!#REF!,A44)+COUNTIF(总课表!#REF!,A44)+COUNTIF(总课表!#REF!,A44)</f>
        <v>#REF!</v>
      </c>
      <c r="C44" s="1" t="e">
        <f>COUNTIF(总课表!#REF!,A44)+COUNTIF(总课表!#REF!,A44)+COUNTIF(总课表!#REF!,A44)+COUNTIF(总课表!#REF!,A44)+COUNTIF(总课表!#REF!,A44)+COUNTIF(总课表!#REF!,A44)</f>
        <v>#REF!</v>
      </c>
      <c r="D44" s="1" t="e">
        <f>COUNTIF(总课表!#REF!,A44)+COUNTIF(总课表!#REF!,A44)+COUNTIF(总课表!#REF!,A44)+COUNTIF(总课表!#REF!,A44)+COUNTIF(总课表!#REF!,A44)+COUNTIF(总课表!#REF!,A44)</f>
        <v>#REF!</v>
      </c>
      <c r="E44" s="1" t="e">
        <f>COUNTIF(总课表!#REF!,A44)+COUNTIF(总课表!#REF!,A44)+COUNTIF(总课表!#REF!,A44)+COUNTIF(总课表!#REF!,A44)+COUNTIF(总课表!#REF!,A44)+COUNTIF(总课表!#REF!,A44)</f>
        <v>#REF!</v>
      </c>
      <c r="F44" s="1">
        <f>COUNTIF(总课表!C$4:C$7,A44)+COUNTIF(总课表!AA$4:AA$7,A44)+COUNTIF(总课表!AY$4:AY$7,A44)+COUNTIF(总课表!BW$4:BW$7,A44)+COUNTIF(总课表!CU$4:CU$7,A44)</f>
        <v>0</v>
      </c>
      <c r="G44" s="1">
        <f>COUNTIF(总课表!D$4:D$7,A44)+COUNTIF(总课表!AB$4:AB$7,A44)+COUNTIF(总课表!AZ$4:AZ$7,A44)+COUNTIF(总课表!BX$4:BX$7,A44)+COUNTIF(总课表!CV$4:CV$7,A44)</f>
        <v>0</v>
      </c>
      <c r="H44" s="1">
        <f>COUNTIF(总课表!E$4:E$7,A44)+COUNTIF(总课表!AC$4:AC$7,A44)+COUNTIF(总课表!BA$4:BA$7,A44)+COUNTIF(总课表!BY$4:BY$7,A44)+COUNTIF(总课表!CW$4:CW$7,A44)</f>
        <v>0</v>
      </c>
      <c r="I44" s="1">
        <f>COUNTIF(总课表!F$4:F$7,A44)+COUNTIF(总课表!AD$4:AD$7,A44)+COUNTIF(总课表!BB$4:BB$7,A44)+COUNTIF(总课表!BZ$4:BZ$7,A44)+COUNTIF(总课表!CX$4:CX$7,A44)</f>
        <v>0</v>
      </c>
      <c r="J44" s="1">
        <f>COUNTIF(总课表!G$4:G$7,A44)+COUNTIF(总课表!AE$4:AE$7,A44)+COUNTIF(总课表!BC$4:BC$7,A44)+COUNTIF(总课表!CA$4:CA$7,A44)+COUNTIF(总课表!CY$4:CY$7,A44)</f>
        <v>0</v>
      </c>
      <c r="K44" s="1">
        <f>COUNTIF(总课表!H$4:H$7,A44)+COUNTIF(总课表!AF$4:AF$7,A44)+COUNTIF(总课表!BD$4:BD$7,A44)+COUNTIF(总课表!CB$4:CB$7,A44)+COUNTIF(总课表!CZ$4:CZ$7,A44)</f>
        <v>0</v>
      </c>
      <c r="L44" s="1">
        <f>COUNTIF(总课表!I$4:I$7,A44)+COUNTIF(总课表!AG$4:AG$7,A44)+COUNTIF(总课表!BE$4:BE$7,A44)+COUNTIF(总课表!CC$4:CC$7,A44)+COUNTIF(总课表!DA$4:DA$7,A44)</f>
        <v>0</v>
      </c>
      <c r="M44" s="1">
        <f>COUNTIF(总课表!J$4:J$7,A44)+COUNTIF(总课表!AH$4:AH$7,A44)+COUNTIF(总课表!BF$4:BF$7,A44)+COUNTIF(总课表!CD$4:CD$7,A44)+COUNTIF(总课表!DB$4:DB$7,A44)</f>
        <v>0</v>
      </c>
      <c r="N44" s="1">
        <f>COUNTIF(总课表!K$4:K$7,A44)+COUNTIF(总课表!AI$4:AI$7,A44)+COUNTIF(总课表!BG$4:BG$7,A44)+COUNTIF(总课表!CE$4:CE$7,A44)+COUNTIF(总课表!DC$4:DC$7,A44)</f>
        <v>0</v>
      </c>
      <c r="O44" s="1">
        <f>COUNTIF(总课表!L$4:L$7,A44)+COUNTIF(总课表!AJ$4:AJ$7,A44)+COUNTIF(总课表!BH$4:BH$7,A44)+COUNTIF(总课表!CF$4:CF$7,A44)+COUNTIF(总课表!DD$4:DD$7,A44)</f>
        <v>0</v>
      </c>
      <c r="P44" s="1">
        <f>COUNTIF(总课表!M$4:M$7,A44)+COUNTIF(总课表!AK$4:AK$7,A44)+COUNTIF(总课表!BI$4:BI$7,A44)+COUNTIF(总课表!CG$4:CG$7,A44)+COUNTIF(总课表!DE$4:DE$7,A44)</f>
        <v>0</v>
      </c>
    </row>
    <row r="45" spans="1:16" hidden="1" x14ac:dyDescent="0.4">
      <c r="A45" s="8" t="s">
        <v>229</v>
      </c>
      <c r="B45" s="1" t="e">
        <f t="shared" ref="B45:P45" si="1">SUM(B32:B44)</f>
        <v>#REF!</v>
      </c>
      <c r="C45" s="1" t="e">
        <f t="shared" si="1"/>
        <v>#REF!</v>
      </c>
      <c r="D45" s="1" t="e">
        <f t="shared" si="1"/>
        <v>#REF!</v>
      </c>
      <c r="E45" s="1" t="e">
        <f t="shared" ref="E45" si="2">SUM(E32:E44)</f>
        <v>#REF!</v>
      </c>
      <c r="F45" s="1">
        <f t="shared" si="1"/>
        <v>3</v>
      </c>
      <c r="G45" s="1">
        <f t="shared" si="1"/>
        <v>2</v>
      </c>
      <c r="H45" s="1">
        <f t="shared" si="1"/>
        <v>2</v>
      </c>
      <c r="I45" s="1">
        <f t="shared" si="1"/>
        <v>2</v>
      </c>
      <c r="J45" s="1">
        <f t="shared" si="1"/>
        <v>4</v>
      </c>
      <c r="K45" s="1">
        <f t="shared" si="1"/>
        <v>3</v>
      </c>
      <c r="L45" s="1">
        <f t="shared" ref="L45:M45" si="3">SUM(L32:L44)</f>
        <v>3</v>
      </c>
      <c r="M45" s="1">
        <f t="shared" si="3"/>
        <v>4</v>
      </c>
      <c r="N45" s="1">
        <f t="shared" si="1"/>
        <v>4</v>
      </c>
      <c r="O45" s="1">
        <f t="shared" si="1"/>
        <v>2</v>
      </c>
      <c r="P45" s="1">
        <f t="shared" si="1"/>
        <v>2</v>
      </c>
    </row>
    <row r="46" spans="1:16" ht="24" hidden="1" customHeight="1" x14ac:dyDescent="0.4">
      <c r="A46" s="254" t="s">
        <v>245</v>
      </c>
      <c r="B46" s="254"/>
      <c r="C46" s="254"/>
      <c r="D46" s="254"/>
      <c r="E46" s="254"/>
      <c r="F46" s="254"/>
      <c r="G46" s="254"/>
      <c r="H46" s="254"/>
      <c r="I46" s="254"/>
      <c r="J46" s="254"/>
      <c r="K46" s="254"/>
      <c r="L46" s="254"/>
      <c r="M46" s="254"/>
      <c r="N46" s="254"/>
      <c r="O46" s="254"/>
      <c r="P46" s="254"/>
    </row>
    <row r="47" spans="1:16" hidden="1" x14ac:dyDescent="0.4">
      <c r="A47" s="6" t="s">
        <v>241</v>
      </c>
      <c r="B47" s="6">
        <v>701</v>
      </c>
      <c r="C47" s="6">
        <v>702</v>
      </c>
      <c r="D47" s="6">
        <v>703</v>
      </c>
      <c r="E47" s="6">
        <v>704</v>
      </c>
      <c r="F47" s="6">
        <v>101</v>
      </c>
      <c r="G47" s="6">
        <v>102</v>
      </c>
      <c r="H47" s="6">
        <v>103</v>
      </c>
      <c r="I47" s="6">
        <v>104</v>
      </c>
      <c r="J47" s="6">
        <v>105</v>
      </c>
      <c r="K47" s="6">
        <v>106</v>
      </c>
      <c r="L47" s="6">
        <v>107</v>
      </c>
      <c r="M47" s="6">
        <v>108</v>
      </c>
      <c r="N47" s="6">
        <v>109</v>
      </c>
      <c r="O47" s="6">
        <v>110</v>
      </c>
      <c r="P47" s="6">
        <v>111</v>
      </c>
    </row>
    <row r="48" spans="1:16" hidden="1" x14ac:dyDescent="0.4">
      <c r="A48" s="1" t="s">
        <v>26</v>
      </c>
      <c r="B48" s="1" t="e">
        <f>COUNTIF(总课表!#REF!,A48)+COUNTIF(总课表!#REF!,A48)+COUNTIF(总课表!#REF!,A48)+COUNTIF(总课表!#REF!,A48)+COUNTIF(总课表!#REF!,A48)+COUNTIF(总课表!#REF!,A48)</f>
        <v>#REF!</v>
      </c>
      <c r="C48" s="1" t="e">
        <f>COUNTIF(总课表!#REF!,A48)+COUNTIF(总课表!#REF!,A48)+COUNTIF(总课表!#REF!,A48)+COUNTIF(总课表!#REF!,A48)+COUNTIF(总课表!#REF!,A48)+COUNTIF(总课表!#REF!,A48)</f>
        <v>#REF!</v>
      </c>
      <c r="D48" s="1" t="e">
        <f>COUNTIF(总课表!#REF!,A48)+COUNTIF(总课表!#REF!,A48)+COUNTIF(总课表!#REF!,A48)+COUNTIF(总课表!#REF!,A48)+COUNTIF(总课表!#REF!,A48)+COUNTIF(总课表!#REF!,A48)</f>
        <v>#REF!</v>
      </c>
      <c r="E48" s="1" t="e">
        <f>COUNTIF(总课表!#REF!,A48)+COUNTIF(总课表!#REF!,A48)+COUNTIF(总课表!#REF!,A48)+COUNTIF(总课表!#REF!,A48)+COUNTIF(总课表!#REF!,A48)+COUNTIF(总课表!#REF!,A48)</f>
        <v>#REF!</v>
      </c>
      <c r="F48" s="1" t="e">
        <f>COUNTIF(总课表!C$32:C$37,A48)+COUNTIF(总课表!AA$32:AA$37,A48)+COUNTIF(总课表!AY$32:AY$37,A48)+COUNTIF(总课表!BW$32:BW$37,A48)+COUNTIF(总课表!CU$32:CU$37,A48)+COUNTIF(总课表!#REF!,A48)</f>
        <v>#REF!</v>
      </c>
      <c r="G48" s="1" t="e">
        <f>COUNTIF(总课表!D$32:D$37,A48)+COUNTIF(总课表!AB$32:AB$37,A48)+COUNTIF(总课表!AZ$32:AZ$37,A48)+COUNTIF(总课表!BX$32:BX$37,A48)+COUNTIF(总课表!CV$32:CV$37,A48)+COUNTIF(总课表!#REF!,A48)</f>
        <v>#REF!</v>
      </c>
      <c r="H48" s="1" t="e">
        <f>COUNTIF(总课表!E$32:E$37,A48)+COUNTIF(总课表!AC$32:AC$37,A48)+COUNTIF(总课表!BA$32:BA$37,A48)+COUNTIF(总课表!BY$32:BY$37,A48)+COUNTIF(总课表!CW$32:CW$37,A48)+COUNTIF(总课表!#REF!,A48)</f>
        <v>#REF!</v>
      </c>
      <c r="I48" s="1" t="e">
        <f>COUNTIF(总课表!F$32:F$37,A48)+COUNTIF(总课表!AD$32:AD$37,A48)+COUNTIF(总课表!BB$32:BB$37,A48)+COUNTIF(总课表!BZ$32:BZ$37,A48)+COUNTIF(总课表!CX$32:CX$37,A48)+COUNTIF(总课表!#REF!,A48)</f>
        <v>#REF!</v>
      </c>
      <c r="J48" s="1" t="e">
        <f>COUNTIF(总课表!G$32:G$37,A48)+COUNTIF(总课表!AE$32:AE$37,A48)+COUNTIF(总课表!BC$32:BC$37,A48)+COUNTIF(总课表!CA$32:CA$37,A48)+COUNTIF(总课表!CY$32:CY$37,A48)+COUNTIF(总课表!#REF!,A48)</f>
        <v>#REF!</v>
      </c>
      <c r="K48" s="1" t="e">
        <f>COUNTIF(总课表!H$32:H$37,A48)+COUNTIF(总课表!AF$32:AF$37,A48)+COUNTIF(总课表!BD$32:BD$37,A48)+COUNTIF(总课表!CB$32:CB$37,A48)+COUNTIF(总课表!CZ$32:CZ$37,A48)+COUNTIF(总课表!#REF!,A48)</f>
        <v>#REF!</v>
      </c>
      <c r="L48" s="1" t="e">
        <f>COUNTIF(总课表!I$32:I$37,A48)+COUNTIF(总课表!AG$32:AG$37,A48)+COUNTIF(总课表!BE$32:BE$37,A48)+COUNTIF(总课表!CC$32:CC$37,A48)+COUNTIF(总课表!DA$32:DA$37,A48)+COUNTIF(总课表!#REF!,A48)</f>
        <v>#REF!</v>
      </c>
      <c r="M48" s="1"/>
      <c r="N48" s="1" t="e">
        <f>COUNTIF(总课表!K$32:K$37,A48)+COUNTIF(总课表!AI$32:AI$37,A48)+COUNTIF(总课表!BG$32:BG$37,A48)+COUNTIF(总课表!CE$32:CE$37,A48)+COUNTIF(总课表!DC$32:DC$37,A48)+COUNTIF(总课表!#REF!,A48)</f>
        <v>#REF!</v>
      </c>
      <c r="O48" s="1" t="e">
        <f>COUNTIF(总课表!L$32:L$37,A48)+COUNTIF(总课表!AJ$32:AJ$37,A48)+COUNTIF(总课表!BH$32:BH$37,A48)+COUNTIF(总课表!CF$32:CF$37,A48)+COUNTIF(总课表!DD$32:DD$37,A48)+COUNTIF(总课表!#REF!,A48)</f>
        <v>#REF!</v>
      </c>
      <c r="P48" s="1" t="e">
        <f>COUNTIF(总课表!M$32:M$37,A48)+COUNTIF(总课表!AK$32:AK$37,A48)+COUNTIF(总课表!BI$32:BI$37,A48)+COUNTIF(总课表!CG$32:CG$37,A48)+COUNTIF(总课表!DE$32:DE$37,A48)+COUNTIF(总课表!#REF!,A48)</f>
        <v>#REF!</v>
      </c>
    </row>
    <row r="49" spans="1:16" hidden="1" x14ac:dyDescent="0.4">
      <c r="A49" s="1" t="s">
        <v>34</v>
      </c>
      <c r="B49" s="1" t="e">
        <f>COUNTIF(总课表!#REF!,A49)+COUNTIF(总课表!#REF!,A49)+COUNTIF(总课表!#REF!,A49)+COUNTIF(总课表!#REF!,A49)+COUNTIF(总课表!#REF!,A49)+COUNTIF(总课表!#REF!,A49)</f>
        <v>#REF!</v>
      </c>
      <c r="C49" s="1" t="e">
        <f>COUNTIF(总课表!#REF!,A49)+COUNTIF(总课表!#REF!,A49)+COUNTIF(总课表!#REF!,A49)+COUNTIF(总课表!#REF!,A49)+COUNTIF(总课表!#REF!,A49)+COUNTIF(总课表!#REF!,A49)</f>
        <v>#REF!</v>
      </c>
      <c r="D49" s="1" t="e">
        <f>COUNTIF(总课表!#REF!,A49)+COUNTIF(总课表!#REF!,A49)+COUNTIF(总课表!#REF!,A49)+COUNTIF(总课表!#REF!,A49)+COUNTIF(总课表!#REF!,A49)+COUNTIF(总课表!#REF!,A49)</f>
        <v>#REF!</v>
      </c>
      <c r="E49" s="1" t="e">
        <f>COUNTIF(总课表!#REF!,A49)+COUNTIF(总课表!#REF!,A49)+COUNTIF(总课表!#REF!,A49)+COUNTIF(总课表!#REF!,A49)+COUNTIF(总课表!#REF!,A49)+COUNTIF(总课表!#REF!,A49)</f>
        <v>#REF!</v>
      </c>
      <c r="F49" s="1" t="e">
        <f>COUNTIF(总课表!C$32:C$37,A49)+COUNTIF(总课表!AA$32:AA$37,A49)+COUNTIF(总课表!AY$32:AY$37,A49)+COUNTIF(总课表!BW$32:BW$37,A49)+COUNTIF(总课表!CU$32:CU$37,A49)+COUNTIF(总课表!#REF!,A49)</f>
        <v>#REF!</v>
      </c>
      <c r="G49" s="1" t="e">
        <f>COUNTIF(总课表!D$32:D$37,A49)+COUNTIF(总课表!AB$32:AB$37,A49)+COUNTIF(总课表!AZ$32:AZ$37,A49)+COUNTIF(总课表!BX$32:BX$37,A49)+COUNTIF(总课表!CV$32:CV$37,A49)+COUNTIF(总课表!#REF!,A49)</f>
        <v>#REF!</v>
      </c>
      <c r="H49" s="1" t="e">
        <f>COUNTIF(总课表!E$32:E$37,A49)+COUNTIF(总课表!AC$32:AC$37,A49)+COUNTIF(总课表!BA$32:BA$37,A49)+COUNTIF(总课表!BY$32:BY$37,A49)+COUNTIF(总课表!CW$32:CW$37,A49)+COUNTIF(总课表!#REF!,A49)</f>
        <v>#REF!</v>
      </c>
      <c r="I49" s="1" t="e">
        <f>COUNTIF(总课表!F$32:F$37,A49)+COUNTIF(总课表!AD$32:AD$37,A49)+COUNTIF(总课表!BB$32:BB$37,A49)+COUNTIF(总课表!BZ$32:BZ$37,A49)+COUNTIF(总课表!CX$32:CX$37,A49)+COUNTIF(总课表!#REF!,A49)</f>
        <v>#REF!</v>
      </c>
      <c r="J49" s="1" t="e">
        <f>COUNTIF(总课表!G$32:G$37,A49)+COUNTIF(总课表!AE$32:AE$37,A49)+COUNTIF(总课表!BC$32:BC$37,A49)+COUNTIF(总课表!CA$32:CA$37,A49)+COUNTIF(总课表!CY$32:CY$37,A49)+COUNTIF(总课表!#REF!,A49)</f>
        <v>#REF!</v>
      </c>
      <c r="K49" s="1" t="e">
        <f>COUNTIF(总课表!H$32:H$37,A49)+COUNTIF(总课表!AF$32:AF$37,A49)+COUNTIF(总课表!BD$32:BD$37,A49)+COUNTIF(总课表!CB$32:CB$37,A49)+COUNTIF(总课表!CZ$32:CZ$37,A49)+COUNTIF(总课表!#REF!,A49)</f>
        <v>#REF!</v>
      </c>
      <c r="L49" s="1" t="e">
        <f>COUNTIF(总课表!I$32:I$37,A49)+COUNTIF(总课表!AG$32:AG$37,A49)+COUNTIF(总课表!BE$32:BE$37,A49)+COUNTIF(总课表!CC$32:CC$37,A49)+COUNTIF(总课表!DA$32:DA$37,A49)+COUNTIF(总课表!#REF!,A49)</f>
        <v>#REF!</v>
      </c>
      <c r="M49" s="1"/>
      <c r="N49" s="1" t="e">
        <f>COUNTIF(总课表!K$32:K$37,A49)+COUNTIF(总课表!AI$32:AI$37,A49)+COUNTIF(总课表!BG$32:BG$37,A49)+COUNTIF(总课表!CE$32:CE$37,A49)+COUNTIF(总课表!DC$32:DC$37,A49)+COUNTIF(总课表!#REF!,A49)</f>
        <v>#REF!</v>
      </c>
      <c r="O49" s="1" t="e">
        <f>COUNTIF(总课表!L$32:L$37,A49)+COUNTIF(总课表!AJ$32:AJ$37,A49)+COUNTIF(总课表!BH$32:BH$37,A49)+COUNTIF(总课表!CF$32:CF$37,A49)+COUNTIF(总课表!DD$32:DD$37,A49)+COUNTIF(总课表!#REF!,A49)</f>
        <v>#REF!</v>
      </c>
      <c r="P49" s="1" t="e">
        <f>COUNTIF(总课表!M$32:M$37,A49)+COUNTIF(总课表!AK$32:AK$37,A49)+COUNTIF(总课表!BI$32:BI$37,A49)+COUNTIF(总课表!CG$32:CG$37,A49)+COUNTIF(总课表!DE$32:DE$37,A49)+COUNTIF(总课表!#REF!,A49)</f>
        <v>#REF!</v>
      </c>
    </row>
    <row r="50" spans="1:16" hidden="1" x14ac:dyDescent="0.4">
      <c r="A50" s="1" t="s">
        <v>136</v>
      </c>
      <c r="B50" s="1" t="e">
        <f>COUNTIF(总课表!#REF!,A50)+COUNTIF(总课表!#REF!,A50)+COUNTIF(总课表!#REF!,A50)+COUNTIF(总课表!#REF!,A50)+COUNTIF(总课表!#REF!,A50)+COUNTIF(总课表!#REF!,A50)</f>
        <v>#REF!</v>
      </c>
      <c r="C50" s="1" t="e">
        <f>COUNTIF(总课表!#REF!,A50)+COUNTIF(总课表!#REF!,A50)+COUNTIF(总课表!#REF!,A50)+COUNTIF(总课表!#REF!,A50)+COUNTIF(总课表!#REF!,A50)+COUNTIF(总课表!#REF!,A50)</f>
        <v>#REF!</v>
      </c>
      <c r="D50" s="1" t="e">
        <f>COUNTIF(总课表!#REF!,A50)+COUNTIF(总课表!#REF!,A50)+COUNTIF(总课表!#REF!,A50)+COUNTIF(总课表!#REF!,A50)+COUNTIF(总课表!#REF!,A50)+COUNTIF(总课表!#REF!,A50)</f>
        <v>#REF!</v>
      </c>
      <c r="E50" s="1" t="e">
        <f>COUNTIF(总课表!#REF!,A50)+COUNTIF(总课表!#REF!,A50)+COUNTIF(总课表!#REF!,A50)+COUNTIF(总课表!#REF!,A50)+COUNTIF(总课表!#REF!,A50)+COUNTIF(总课表!#REF!,A50)</f>
        <v>#REF!</v>
      </c>
      <c r="F50" s="1" t="e">
        <f>COUNTIF(总课表!C$32:C$37,A50)+COUNTIF(总课表!AA$32:AA$37,A50)+COUNTIF(总课表!AY$32:AY$37,A50)+COUNTIF(总课表!BW$32:BW$37,A50)+COUNTIF(总课表!CU$32:CU$37,A50)+COUNTIF(总课表!#REF!,A50)</f>
        <v>#REF!</v>
      </c>
      <c r="G50" s="1" t="e">
        <f>COUNTIF(总课表!D$32:D$37,A50)+COUNTIF(总课表!AB$32:AB$37,A50)+COUNTIF(总课表!AZ$32:AZ$37,A50)+COUNTIF(总课表!BX$32:BX$37,A50)+COUNTIF(总课表!CV$32:CV$37,A50)+COUNTIF(总课表!#REF!,A50)</f>
        <v>#REF!</v>
      </c>
      <c r="H50" s="1" t="e">
        <f>COUNTIF(总课表!E$32:E$37,A50)+COUNTIF(总课表!AC$32:AC$37,A50)+COUNTIF(总课表!BA$32:BA$37,A50)+COUNTIF(总课表!BY$32:BY$37,A50)+COUNTIF(总课表!CW$32:CW$37,A50)+COUNTIF(总课表!#REF!,A50)</f>
        <v>#REF!</v>
      </c>
      <c r="I50" s="1" t="e">
        <f>COUNTIF(总课表!F$32:F$37,A50)+COUNTIF(总课表!AD$32:AD$37,A50)+COUNTIF(总课表!BB$32:BB$37,A50)+COUNTIF(总课表!BZ$32:BZ$37,A50)+COUNTIF(总课表!CX$32:CX$37,A50)+COUNTIF(总课表!#REF!,A50)</f>
        <v>#REF!</v>
      </c>
      <c r="J50" s="1" t="e">
        <f>COUNTIF(总课表!G$32:G$37,A50)+COUNTIF(总课表!AE$32:AE$37,A50)+COUNTIF(总课表!BC$32:BC$37,A50)+COUNTIF(总课表!CA$32:CA$37,A50)+COUNTIF(总课表!CY$32:CY$37,A50)+COUNTIF(总课表!#REF!,A50)</f>
        <v>#REF!</v>
      </c>
      <c r="K50" s="1" t="e">
        <f>COUNTIF(总课表!H$32:H$37,A50)+COUNTIF(总课表!AF$32:AF$37,A50)+COUNTIF(总课表!BD$32:BD$37,A50)+COUNTIF(总课表!CB$32:CB$37,A50)+COUNTIF(总课表!CZ$32:CZ$37,A50)+COUNTIF(总课表!#REF!,A50)</f>
        <v>#REF!</v>
      </c>
      <c r="L50" s="1" t="e">
        <f>COUNTIF(总课表!I$32:I$37,A50)+COUNTIF(总课表!AG$32:AG$37,A50)+COUNTIF(总课表!BE$32:BE$37,A50)+COUNTIF(总课表!CC$32:CC$37,A50)+COUNTIF(总课表!DA$32:DA$37,A50)+COUNTIF(总课表!#REF!,A50)</f>
        <v>#REF!</v>
      </c>
      <c r="M50" s="1"/>
      <c r="N50" s="1" t="e">
        <f>COUNTIF(总课表!K$32:K$37,A50)+COUNTIF(总课表!AI$32:AI$37,A50)+COUNTIF(总课表!BG$32:BG$37,A50)+COUNTIF(总课表!CE$32:CE$37,A50)+COUNTIF(总课表!DC$32:DC$37,A50)+COUNTIF(总课表!#REF!,A50)</f>
        <v>#REF!</v>
      </c>
      <c r="O50" s="1" t="e">
        <f>COUNTIF(总课表!L$32:L$37,A50)+COUNTIF(总课表!AJ$32:AJ$37,A50)+COUNTIF(总课表!BH$32:BH$37,A50)+COUNTIF(总课表!CF$32:CF$37,A50)+COUNTIF(总课表!DD$32:DD$37,A50)+COUNTIF(总课表!#REF!,A50)</f>
        <v>#REF!</v>
      </c>
      <c r="P50" s="1" t="e">
        <f>COUNTIF(总课表!M$32:M$37,A50)+COUNTIF(总课表!AK$32:AK$37,A50)+COUNTIF(总课表!BI$32:BI$37,A50)+COUNTIF(总课表!CG$32:CG$37,A50)+COUNTIF(总课表!DE$32:DE$37,A50)+COUNTIF(总课表!#REF!,A50)</f>
        <v>#REF!</v>
      </c>
    </row>
    <row r="51" spans="1:16" hidden="1" x14ac:dyDescent="0.4">
      <c r="A51" s="1" t="s">
        <v>66</v>
      </c>
      <c r="B51" s="1" t="e">
        <f>COUNTIF(总课表!#REF!,A51)+COUNTIF(总课表!#REF!,A51)+COUNTIF(总课表!#REF!,A51)+COUNTIF(总课表!#REF!,A51)+COUNTIF(总课表!#REF!,A51)+COUNTIF(总课表!#REF!,A51)</f>
        <v>#REF!</v>
      </c>
      <c r="C51" s="1" t="e">
        <f>COUNTIF(总课表!#REF!,A51)+COUNTIF(总课表!#REF!,A51)+COUNTIF(总课表!#REF!,A51)+COUNTIF(总课表!#REF!,A51)+COUNTIF(总课表!#REF!,A51)+COUNTIF(总课表!#REF!,A51)</f>
        <v>#REF!</v>
      </c>
      <c r="D51" s="1" t="e">
        <f>COUNTIF(总课表!#REF!,A51)+COUNTIF(总课表!#REF!,A51)+COUNTIF(总课表!#REF!,A51)+COUNTIF(总课表!#REF!,A51)+COUNTIF(总课表!#REF!,A51)+COUNTIF(总课表!#REF!,A51)</f>
        <v>#REF!</v>
      </c>
      <c r="E51" s="1" t="e">
        <f>COUNTIF(总课表!#REF!,A51)+COUNTIF(总课表!#REF!,A51)+COUNTIF(总课表!#REF!,A51)+COUNTIF(总课表!#REF!,A51)+COUNTIF(总课表!#REF!,A51)+COUNTIF(总课表!#REF!,A51)</f>
        <v>#REF!</v>
      </c>
      <c r="F51" s="1" t="e">
        <f>COUNTIF(总课表!C$32:C$37,A51)+COUNTIF(总课表!AA$32:AA$37,A51)+COUNTIF(总课表!AY$32:AY$37,A51)+COUNTIF(总课表!BW$32:BW$37,A51)+COUNTIF(总课表!CU$32:CU$37,A51)+COUNTIF(总课表!#REF!,A51)</f>
        <v>#REF!</v>
      </c>
      <c r="G51" s="1" t="e">
        <f>COUNTIF(总课表!D$32:D$37,A51)+COUNTIF(总课表!AB$32:AB$37,A51)+COUNTIF(总课表!AZ$32:AZ$37,A51)+COUNTIF(总课表!BX$32:BX$37,A51)+COUNTIF(总课表!CV$32:CV$37,A51)+COUNTIF(总课表!#REF!,A51)</f>
        <v>#REF!</v>
      </c>
      <c r="H51" s="1" t="e">
        <f>COUNTIF(总课表!E$32:E$37,A51)+COUNTIF(总课表!AC$32:AC$37,A51)+COUNTIF(总课表!BA$32:BA$37,A51)+COUNTIF(总课表!BY$32:BY$37,A51)+COUNTIF(总课表!CW$32:CW$37,A51)+COUNTIF(总课表!#REF!,A51)</f>
        <v>#REF!</v>
      </c>
      <c r="I51" s="1" t="e">
        <f>COUNTIF(总课表!F$32:F$37,A51)+COUNTIF(总课表!AD$32:AD$37,A51)+COUNTIF(总课表!BB$32:BB$37,A51)+COUNTIF(总课表!BZ$32:BZ$37,A51)+COUNTIF(总课表!CX$32:CX$37,A51)+COUNTIF(总课表!#REF!,A51)</f>
        <v>#REF!</v>
      </c>
      <c r="J51" s="1" t="e">
        <f>COUNTIF(总课表!G$32:G$37,A51)+COUNTIF(总课表!AE$32:AE$37,A51)+COUNTIF(总课表!BC$32:BC$37,A51)+COUNTIF(总课表!CA$32:CA$37,A51)+COUNTIF(总课表!CY$32:CY$37,A51)+COUNTIF(总课表!#REF!,A51)</f>
        <v>#REF!</v>
      </c>
      <c r="K51" s="1" t="e">
        <f>COUNTIF(总课表!H$32:H$37,A51)+COUNTIF(总课表!AF$32:AF$37,A51)+COUNTIF(总课表!BD$32:BD$37,A51)+COUNTIF(总课表!CB$32:CB$37,A51)+COUNTIF(总课表!CZ$32:CZ$37,A51)+COUNTIF(总课表!#REF!,A51)</f>
        <v>#REF!</v>
      </c>
      <c r="L51" s="1" t="e">
        <f>COUNTIF(总课表!I$32:I$37,A51)+COUNTIF(总课表!AG$32:AG$37,A51)+COUNTIF(总课表!BE$32:BE$37,A51)+COUNTIF(总课表!CC$32:CC$37,A51)+COUNTIF(总课表!DA$32:DA$37,A51)+COUNTIF(总课表!#REF!,A51)</f>
        <v>#REF!</v>
      </c>
      <c r="M51" s="1"/>
      <c r="N51" s="1" t="e">
        <f>COUNTIF(总课表!K$32:K$37,A51)+COUNTIF(总课表!AI$32:AI$37,A51)+COUNTIF(总课表!BG$32:BG$37,A51)+COUNTIF(总课表!CE$32:CE$37,A51)+COUNTIF(总课表!DC$32:DC$37,A51)+COUNTIF(总课表!#REF!,A51)</f>
        <v>#REF!</v>
      </c>
      <c r="O51" s="1" t="e">
        <f>COUNTIF(总课表!L$32:L$37,A51)+COUNTIF(总课表!AJ$32:AJ$37,A51)+COUNTIF(总课表!BH$32:BH$37,A51)+COUNTIF(总课表!CF$32:CF$37,A51)+COUNTIF(总课表!DD$32:DD$37,A51)+COUNTIF(总课表!#REF!,A51)</f>
        <v>#REF!</v>
      </c>
      <c r="P51" s="1" t="e">
        <f>COUNTIF(总课表!M$32:M$37,A51)+COUNTIF(总课表!AK$32:AK$37,A51)+COUNTIF(总课表!BI$32:BI$37,A51)+COUNTIF(总课表!CG$32:CG$37,A51)+COUNTIF(总课表!DE$32:DE$37,A51)+COUNTIF(总课表!#REF!,A51)</f>
        <v>#REF!</v>
      </c>
    </row>
    <row r="52" spans="1:16" hidden="1" x14ac:dyDescent="0.4">
      <c r="A52" s="1" t="s">
        <v>76</v>
      </c>
      <c r="B52" s="1" t="e">
        <f>COUNTIF(总课表!#REF!,A52)+COUNTIF(总课表!#REF!,A52)+COUNTIF(总课表!#REF!,A52)+COUNTIF(总课表!#REF!,A52)+COUNTIF(总课表!#REF!,A52)+COUNTIF(总课表!#REF!,A52)</f>
        <v>#REF!</v>
      </c>
      <c r="C52" s="1" t="e">
        <f>COUNTIF(总课表!#REF!,A52)+COUNTIF(总课表!#REF!,A52)+COUNTIF(总课表!#REF!,A52)+COUNTIF(总课表!#REF!,A52)+COUNTIF(总课表!#REF!,A52)+COUNTIF(总课表!#REF!,A52)</f>
        <v>#REF!</v>
      </c>
      <c r="D52" s="1" t="e">
        <f>COUNTIF(总课表!#REF!,A52)+COUNTIF(总课表!#REF!,A52)+COUNTIF(总课表!#REF!,A52)+COUNTIF(总课表!#REF!,A52)+COUNTIF(总课表!#REF!,A52)+COUNTIF(总课表!#REF!,A52)</f>
        <v>#REF!</v>
      </c>
      <c r="E52" s="1" t="e">
        <f>COUNTIF(总课表!#REF!,A52)+COUNTIF(总课表!#REF!,A52)+COUNTIF(总课表!#REF!,A52)+COUNTIF(总课表!#REF!,A52)+COUNTIF(总课表!#REF!,A52)+COUNTIF(总课表!#REF!,A52)</f>
        <v>#REF!</v>
      </c>
      <c r="F52" s="1" t="e">
        <f>COUNTIF(总课表!C$32:C$37,A52)+COUNTIF(总课表!AA$32:AA$37,A52)+COUNTIF(总课表!AY$32:AY$37,A52)+COUNTIF(总课表!BW$32:BW$37,A52)+COUNTIF(总课表!CU$32:CU$37,A52)+COUNTIF(总课表!#REF!,A52)</f>
        <v>#REF!</v>
      </c>
      <c r="G52" s="1" t="e">
        <f>COUNTIF(总课表!D$32:D$37,A52)+COUNTIF(总课表!AB$32:AB$37,A52)+COUNTIF(总课表!AZ$32:AZ$37,A52)+COUNTIF(总课表!BX$32:BX$37,A52)+COUNTIF(总课表!CV$32:CV$37,A52)+COUNTIF(总课表!#REF!,A52)</f>
        <v>#REF!</v>
      </c>
      <c r="H52" s="1" t="e">
        <f>COUNTIF(总课表!E$32:E$37,A52)+COUNTIF(总课表!AC$32:AC$37,A52)+COUNTIF(总课表!BA$32:BA$37,A52)+COUNTIF(总课表!BY$32:BY$37,A52)+COUNTIF(总课表!CW$32:CW$37,A52)+COUNTIF(总课表!#REF!,A52)</f>
        <v>#REF!</v>
      </c>
      <c r="I52" s="1" t="e">
        <f>COUNTIF(总课表!F$32:F$37,A52)+COUNTIF(总课表!AD$32:AD$37,A52)+COUNTIF(总课表!BB$32:BB$37,A52)+COUNTIF(总课表!BZ$32:BZ$37,A52)+COUNTIF(总课表!CX$32:CX$37,A52)+COUNTIF(总课表!#REF!,A52)</f>
        <v>#REF!</v>
      </c>
      <c r="J52" s="1" t="e">
        <f>COUNTIF(总课表!G$32:G$37,A52)+COUNTIF(总课表!AE$32:AE$37,A52)+COUNTIF(总课表!BC$32:BC$37,A52)+COUNTIF(总课表!CA$32:CA$37,A52)+COUNTIF(总课表!CY$32:CY$37,A52)+COUNTIF(总课表!#REF!,A52)</f>
        <v>#REF!</v>
      </c>
      <c r="K52" s="1" t="e">
        <f>COUNTIF(总课表!H$32:H$37,A52)+COUNTIF(总课表!AF$32:AF$37,A52)+COUNTIF(总课表!BD$32:BD$37,A52)+COUNTIF(总课表!CB$32:CB$37,A52)+COUNTIF(总课表!CZ$32:CZ$37,A52)+COUNTIF(总课表!#REF!,A52)</f>
        <v>#REF!</v>
      </c>
      <c r="L52" s="1" t="e">
        <f>COUNTIF(总课表!I$32:I$37,A52)+COUNTIF(总课表!AG$32:AG$37,A52)+COUNTIF(总课表!BE$32:BE$37,A52)+COUNTIF(总课表!CC$32:CC$37,A52)+COUNTIF(总课表!DA$32:DA$37,A52)+COUNTIF(总课表!#REF!,A52)</f>
        <v>#REF!</v>
      </c>
      <c r="M52" s="1"/>
      <c r="N52" s="1" t="e">
        <f>COUNTIF(总课表!K$32:K$37,A52)+COUNTIF(总课表!AI$32:AI$37,A52)+COUNTIF(总课表!BG$32:BG$37,A52)+COUNTIF(总课表!CE$32:CE$37,A52)+COUNTIF(总课表!DC$32:DC$37,A52)+COUNTIF(总课表!#REF!,A52)</f>
        <v>#REF!</v>
      </c>
      <c r="O52" s="1" t="e">
        <f>COUNTIF(总课表!L$32:L$37,A52)+COUNTIF(总课表!AJ$32:AJ$37,A52)+COUNTIF(总课表!BH$32:BH$37,A52)+COUNTIF(总课表!CF$32:CF$37,A52)+COUNTIF(总课表!DD$32:DD$37,A52)+COUNTIF(总课表!#REF!,A52)</f>
        <v>#REF!</v>
      </c>
      <c r="P52" s="1" t="e">
        <f>COUNTIF(总课表!M$32:M$37,A52)+COUNTIF(总课表!AK$32:AK$37,A52)+COUNTIF(总课表!BI$32:BI$37,A52)+COUNTIF(总课表!CG$32:CG$37,A52)+COUNTIF(总课表!DE$32:DE$37,A52)+COUNTIF(总课表!#REF!,A52)</f>
        <v>#REF!</v>
      </c>
    </row>
    <row r="53" spans="1:16" hidden="1" x14ac:dyDescent="0.4">
      <c r="A53" s="1" t="s">
        <v>62</v>
      </c>
      <c r="B53" s="1" t="e">
        <f>COUNTIF(总课表!#REF!,A53)+COUNTIF(总课表!#REF!,A53)+COUNTIF(总课表!#REF!,A53)+COUNTIF(总课表!#REF!,A53)+COUNTIF(总课表!#REF!,A53)+COUNTIF(总课表!#REF!,A53)</f>
        <v>#REF!</v>
      </c>
      <c r="C53" s="1" t="e">
        <f>COUNTIF(总课表!#REF!,A53)+COUNTIF(总课表!#REF!,A53)+COUNTIF(总课表!#REF!,A53)+COUNTIF(总课表!#REF!,A53)+COUNTIF(总课表!#REF!,A53)+COUNTIF(总课表!#REF!,A53)</f>
        <v>#REF!</v>
      </c>
      <c r="D53" s="1" t="e">
        <f>COUNTIF(总课表!#REF!,A53)+COUNTIF(总课表!#REF!,A53)+COUNTIF(总课表!#REF!,A53)+COUNTIF(总课表!#REF!,A53)+COUNTIF(总课表!#REF!,A53)+COUNTIF(总课表!#REF!,A53)</f>
        <v>#REF!</v>
      </c>
      <c r="E53" s="1" t="e">
        <f>COUNTIF(总课表!#REF!,A53)+COUNTIF(总课表!#REF!,A53)+COUNTIF(总课表!#REF!,A53)+COUNTIF(总课表!#REF!,A53)+COUNTIF(总课表!#REF!,A53)+COUNTIF(总课表!#REF!,A53)</f>
        <v>#REF!</v>
      </c>
      <c r="F53" s="1" t="e">
        <f>COUNTIF(总课表!C$32:C$37,A53)+COUNTIF(总课表!AA$32:AA$37,A53)+COUNTIF(总课表!AY$32:AY$37,A53)+COUNTIF(总课表!BW$32:BW$37,A53)+COUNTIF(总课表!CU$32:CU$37,A53)+COUNTIF(总课表!#REF!,A53)</f>
        <v>#REF!</v>
      </c>
      <c r="G53" s="1" t="e">
        <f>COUNTIF(总课表!D$32:D$37,A53)+COUNTIF(总课表!AB$32:AB$37,A53)+COUNTIF(总课表!AZ$32:AZ$37,A53)+COUNTIF(总课表!BX$32:BX$37,A53)+COUNTIF(总课表!CV$32:CV$37,A53)+COUNTIF(总课表!#REF!,A53)</f>
        <v>#REF!</v>
      </c>
      <c r="H53" s="1" t="e">
        <f>COUNTIF(总课表!E$32:E$37,A53)+COUNTIF(总课表!AC$32:AC$37,A53)+COUNTIF(总课表!BA$32:BA$37,A53)+COUNTIF(总课表!BY$32:BY$37,A53)+COUNTIF(总课表!CW$32:CW$37,A53)+COUNTIF(总课表!#REF!,A53)</f>
        <v>#REF!</v>
      </c>
      <c r="I53" s="1" t="e">
        <f>COUNTIF(总课表!F$32:F$37,A53)+COUNTIF(总课表!AD$32:AD$37,A53)+COUNTIF(总课表!BB$32:BB$37,A53)+COUNTIF(总课表!BZ$32:BZ$37,A53)+COUNTIF(总课表!CX$32:CX$37,A53)+COUNTIF(总课表!#REF!,A53)</f>
        <v>#REF!</v>
      </c>
      <c r="J53" s="1" t="e">
        <f>COUNTIF(总课表!G$32:G$37,A53)+COUNTIF(总课表!AE$32:AE$37,A53)+COUNTIF(总课表!BC$32:BC$37,A53)+COUNTIF(总课表!CA$32:CA$37,A53)+COUNTIF(总课表!CY$32:CY$37,A53)+COUNTIF(总课表!#REF!,A53)</f>
        <v>#REF!</v>
      </c>
      <c r="K53" s="1" t="e">
        <f>COUNTIF(总课表!H$32:H$37,A53)+COUNTIF(总课表!AF$32:AF$37,A53)+COUNTIF(总课表!BD$32:BD$37,A53)+COUNTIF(总课表!CB$32:CB$37,A53)+COUNTIF(总课表!CZ$32:CZ$37,A53)+COUNTIF(总课表!#REF!,A53)</f>
        <v>#REF!</v>
      </c>
      <c r="L53" s="1" t="e">
        <f>COUNTIF(总课表!I$32:I$37,A53)+COUNTIF(总课表!AG$32:AG$37,A53)+COUNTIF(总课表!BE$32:BE$37,A53)+COUNTIF(总课表!CC$32:CC$37,A53)+COUNTIF(总课表!DA$32:DA$37,A53)+COUNTIF(总课表!#REF!,A53)</f>
        <v>#REF!</v>
      </c>
      <c r="M53" s="1"/>
      <c r="N53" s="1" t="e">
        <f>COUNTIF(总课表!K$32:K$37,A53)+COUNTIF(总课表!AI$32:AI$37,A53)+COUNTIF(总课表!BG$32:BG$37,A53)+COUNTIF(总课表!CE$32:CE$37,A53)+COUNTIF(总课表!DC$32:DC$37,A53)+COUNTIF(总课表!#REF!,A53)</f>
        <v>#REF!</v>
      </c>
      <c r="O53" s="1" t="e">
        <f>COUNTIF(总课表!L$32:L$37,A53)+COUNTIF(总课表!AJ$32:AJ$37,A53)+COUNTIF(总课表!BH$32:BH$37,A53)+COUNTIF(总课表!CF$32:CF$37,A53)+COUNTIF(总课表!DD$32:DD$37,A53)+COUNTIF(总课表!#REF!,A53)</f>
        <v>#REF!</v>
      </c>
      <c r="P53" s="1" t="e">
        <f>COUNTIF(总课表!M$32:M$37,A53)+COUNTIF(总课表!AK$32:AK$37,A53)+COUNTIF(总课表!BI$32:BI$37,A53)+COUNTIF(总课表!CG$32:CG$37,A53)+COUNTIF(总课表!DE$32:DE$37,A53)+COUNTIF(总课表!#REF!,A53)</f>
        <v>#REF!</v>
      </c>
    </row>
    <row r="54" spans="1:16" hidden="1" x14ac:dyDescent="0.4">
      <c r="A54" s="1" t="s">
        <v>54</v>
      </c>
      <c r="B54" s="1" t="e">
        <f>COUNTIF(总课表!#REF!,A54)+COUNTIF(总课表!#REF!,A54)+COUNTIF(总课表!#REF!,A54)+COUNTIF(总课表!#REF!,A54)+COUNTIF(总课表!#REF!,A54)+COUNTIF(总课表!#REF!,A54)</f>
        <v>#REF!</v>
      </c>
      <c r="C54" s="1" t="e">
        <f>COUNTIF(总课表!#REF!,A54)+COUNTIF(总课表!#REF!,A54)+COUNTIF(总课表!#REF!,A54)+COUNTIF(总课表!#REF!,A54)+COUNTIF(总课表!#REF!,A54)+COUNTIF(总课表!#REF!,A54)</f>
        <v>#REF!</v>
      </c>
      <c r="D54" s="1" t="e">
        <f>COUNTIF(总课表!#REF!,A54)+COUNTIF(总课表!#REF!,A54)+COUNTIF(总课表!#REF!,A54)+COUNTIF(总课表!#REF!,A54)+COUNTIF(总课表!#REF!,A54)+COUNTIF(总课表!#REF!,A54)</f>
        <v>#REF!</v>
      </c>
      <c r="E54" s="1" t="e">
        <f>COUNTIF(总课表!#REF!,A54)+COUNTIF(总课表!#REF!,A54)+COUNTIF(总课表!#REF!,A54)+COUNTIF(总课表!#REF!,A54)+COUNTIF(总课表!#REF!,A54)+COUNTIF(总课表!#REF!,A54)</f>
        <v>#REF!</v>
      </c>
      <c r="F54" s="1" t="e">
        <f>COUNTIF(总课表!C$32:C$37,A54)+COUNTIF(总课表!AA$32:AA$37,A54)+COUNTIF(总课表!AY$32:AY$37,A54)+COUNTIF(总课表!BW$32:BW$37,A54)+COUNTIF(总课表!CU$32:CU$37,A54)+COUNTIF(总课表!#REF!,A54)</f>
        <v>#REF!</v>
      </c>
      <c r="G54" s="1" t="e">
        <f>COUNTIF(总课表!D$32:D$37,A54)+COUNTIF(总课表!AB$32:AB$37,A54)+COUNTIF(总课表!AZ$32:AZ$37,A54)+COUNTIF(总课表!BX$32:BX$37,A54)+COUNTIF(总课表!CV$32:CV$37,A54)+COUNTIF(总课表!#REF!,A54)</f>
        <v>#REF!</v>
      </c>
      <c r="H54" s="1" t="e">
        <f>COUNTIF(总课表!E$32:E$37,A54)+COUNTIF(总课表!AC$32:AC$37,A54)+COUNTIF(总课表!BA$32:BA$37,A54)+COUNTIF(总课表!BY$32:BY$37,A54)+COUNTIF(总课表!CW$32:CW$37,A54)+COUNTIF(总课表!#REF!,A54)</f>
        <v>#REF!</v>
      </c>
      <c r="I54" s="1" t="e">
        <f>COUNTIF(总课表!F$32:F$37,A54)+COUNTIF(总课表!AD$32:AD$37,A54)+COUNTIF(总课表!BB$32:BB$37,A54)+COUNTIF(总课表!BZ$32:BZ$37,A54)+COUNTIF(总课表!CX$32:CX$37,A54)+COUNTIF(总课表!#REF!,A54)</f>
        <v>#REF!</v>
      </c>
      <c r="J54" s="1" t="e">
        <f>COUNTIF(总课表!G$32:G$37,A54)+COUNTIF(总课表!AE$32:AE$37,A54)+COUNTIF(总课表!BC$32:BC$37,A54)+COUNTIF(总课表!CA$32:CA$37,A54)+COUNTIF(总课表!CY$32:CY$37,A54)+COUNTIF(总课表!#REF!,A54)</f>
        <v>#REF!</v>
      </c>
      <c r="K54" s="1" t="e">
        <f>COUNTIF(总课表!H$32:H$37,A54)+COUNTIF(总课表!AF$32:AF$37,A54)+COUNTIF(总课表!BD$32:BD$37,A54)+COUNTIF(总课表!CB$32:CB$37,A54)+COUNTIF(总课表!CZ$32:CZ$37,A54)+COUNTIF(总课表!#REF!,A54)</f>
        <v>#REF!</v>
      </c>
      <c r="L54" s="1" t="e">
        <f>COUNTIF(总课表!I$32:I$37,A54)+COUNTIF(总课表!AG$32:AG$37,A54)+COUNTIF(总课表!BE$32:BE$37,A54)+COUNTIF(总课表!CC$32:CC$37,A54)+COUNTIF(总课表!DA$32:DA$37,A54)+COUNTIF(总课表!#REF!,A54)</f>
        <v>#REF!</v>
      </c>
      <c r="M54" s="1"/>
      <c r="N54" s="1" t="e">
        <f>COUNTIF(总课表!K$32:K$37,A54)+COUNTIF(总课表!AI$32:AI$37,A54)+COUNTIF(总课表!BG$32:BG$37,A54)+COUNTIF(总课表!CE$32:CE$37,A54)+COUNTIF(总课表!DC$32:DC$37,A54)+COUNTIF(总课表!#REF!,A54)</f>
        <v>#REF!</v>
      </c>
      <c r="O54" s="1" t="e">
        <f>COUNTIF(总课表!L$32:L$37,A54)+COUNTIF(总课表!AJ$32:AJ$37,A54)+COUNTIF(总课表!BH$32:BH$37,A54)+COUNTIF(总课表!CF$32:CF$37,A54)+COUNTIF(总课表!DD$32:DD$37,A54)+COUNTIF(总课表!#REF!,A54)</f>
        <v>#REF!</v>
      </c>
      <c r="P54" s="1" t="e">
        <f>COUNTIF(总课表!M$32:M$37,A54)+COUNTIF(总课表!AK$32:AK$37,A54)+COUNTIF(总课表!BI$32:BI$37,A54)+COUNTIF(总课表!CG$32:CG$37,A54)+COUNTIF(总课表!DE$32:DE$37,A54)+COUNTIF(总课表!#REF!,A54)</f>
        <v>#REF!</v>
      </c>
    </row>
    <row r="55" spans="1:16" hidden="1" x14ac:dyDescent="0.4">
      <c r="A55" s="1" t="s">
        <v>58</v>
      </c>
      <c r="B55" s="1" t="e">
        <f>COUNTIF(总课表!#REF!,A55)+COUNTIF(总课表!#REF!,A55)+COUNTIF(总课表!#REF!,A55)+COUNTIF(总课表!#REF!,A55)+COUNTIF(总课表!#REF!,A55)+COUNTIF(总课表!#REF!,A55)</f>
        <v>#REF!</v>
      </c>
      <c r="C55" s="1" t="e">
        <f>COUNTIF(总课表!#REF!,A55)+COUNTIF(总课表!#REF!,A55)+COUNTIF(总课表!#REF!,A55)+COUNTIF(总课表!#REF!,A55)+COUNTIF(总课表!#REF!,A55)+COUNTIF(总课表!#REF!,A55)</f>
        <v>#REF!</v>
      </c>
      <c r="D55" s="1" t="e">
        <f>COUNTIF(总课表!#REF!,A55)+COUNTIF(总课表!#REF!,A55)+COUNTIF(总课表!#REF!,A55)+COUNTIF(总课表!#REF!,A55)+COUNTIF(总课表!#REF!,A55)+COUNTIF(总课表!#REF!,A55)</f>
        <v>#REF!</v>
      </c>
      <c r="E55" s="1" t="e">
        <f>COUNTIF(总课表!#REF!,A55)+COUNTIF(总课表!#REF!,A55)+COUNTIF(总课表!#REF!,A55)+COUNTIF(总课表!#REF!,A55)+COUNTIF(总课表!#REF!,A55)+COUNTIF(总课表!#REF!,A55)</f>
        <v>#REF!</v>
      </c>
      <c r="F55" s="1" t="e">
        <f>COUNTIF(总课表!C$32:C$37,A55)+COUNTIF(总课表!AA$32:AA$37,A55)+COUNTIF(总课表!AY$32:AY$37,A55)+COUNTIF(总课表!BW$32:BW$37,A55)+COUNTIF(总课表!CU$32:CU$37,A55)+COUNTIF(总课表!#REF!,A55)</f>
        <v>#REF!</v>
      </c>
      <c r="G55" s="1" t="e">
        <f>COUNTIF(总课表!D$32:D$37,A55)+COUNTIF(总课表!AB$32:AB$37,A55)+COUNTIF(总课表!AZ$32:AZ$37,A55)+COUNTIF(总课表!BX$32:BX$37,A55)+COUNTIF(总课表!CV$32:CV$37,A55)+COUNTIF(总课表!#REF!,A55)</f>
        <v>#REF!</v>
      </c>
      <c r="H55" s="1" t="e">
        <f>COUNTIF(总课表!E$32:E$37,A55)+COUNTIF(总课表!AC$32:AC$37,A55)+COUNTIF(总课表!BA$32:BA$37,A55)+COUNTIF(总课表!BY$32:BY$37,A55)+COUNTIF(总课表!CW$32:CW$37,A55)+COUNTIF(总课表!#REF!,A55)</f>
        <v>#REF!</v>
      </c>
      <c r="I55" s="1" t="e">
        <f>COUNTIF(总课表!F$32:F$37,A55)+COUNTIF(总课表!AD$32:AD$37,A55)+COUNTIF(总课表!BB$32:BB$37,A55)+COUNTIF(总课表!BZ$32:BZ$37,A55)+COUNTIF(总课表!CX$32:CX$37,A55)+COUNTIF(总课表!#REF!,A55)</f>
        <v>#REF!</v>
      </c>
      <c r="J55" s="1" t="e">
        <f>COUNTIF(总课表!G$32:G$37,A55)+COUNTIF(总课表!AE$32:AE$37,A55)+COUNTIF(总课表!BC$32:BC$37,A55)+COUNTIF(总课表!CA$32:CA$37,A55)+COUNTIF(总课表!CY$32:CY$37,A55)+COUNTIF(总课表!#REF!,A55)</f>
        <v>#REF!</v>
      </c>
      <c r="K55" s="1" t="e">
        <f>COUNTIF(总课表!H$32:H$37,A55)+COUNTIF(总课表!AF$32:AF$37,A55)+COUNTIF(总课表!BD$32:BD$37,A55)+COUNTIF(总课表!CB$32:CB$37,A55)+COUNTIF(总课表!CZ$32:CZ$37,A55)+COUNTIF(总课表!#REF!,A55)</f>
        <v>#REF!</v>
      </c>
      <c r="L55" s="1" t="e">
        <f>COUNTIF(总课表!I$32:I$37,A55)+COUNTIF(总课表!AG$32:AG$37,A55)+COUNTIF(总课表!BE$32:BE$37,A55)+COUNTIF(总课表!CC$32:CC$37,A55)+COUNTIF(总课表!DA$32:DA$37,A55)+COUNTIF(总课表!#REF!,A55)</f>
        <v>#REF!</v>
      </c>
      <c r="M55" s="1"/>
      <c r="N55" s="1" t="e">
        <f>COUNTIF(总课表!K$32:K$37,A55)+COUNTIF(总课表!AI$32:AI$37,A55)+COUNTIF(总课表!BG$32:BG$37,A55)+COUNTIF(总课表!CE$32:CE$37,A55)+COUNTIF(总课表!DC$32:DC$37,A55)+COUNTIF(总课表!#REF!,A55)</f>
        <v>#REF!</v>
      </c>
      <c r="O55" s="1" t="e">
        <f>COUNTIF(总课表!L$32:L$37,A55)+COUNTIF(总课表!AJ$32:AJ$37,A55)+COUNTIF(总课表!BH$32:BH$37,A55)+COUNTIF(总课表!CF$32:CF$37,A55)+COUNTIF(总课表!DD$32:DD$37,A55)+COUNTIF(总课表!#REF!,A55)</f>
        <v>#REF!</v>
      </c>
      <c r="P55" s="1" t="e">
        <f>COUNTIF(总课表!M$32:M$37,A55)+COUNTIF(总课表!AK$32:AK$37,A55)+COUNTIF(总课表!BI$32:BI$37,A55)+COUNTIF(总课表!CG$32:CG$37,A55)+COUNTIF(总课表!DE$32:DE$37,A55)+COUNTIF(总课表!#REF!,A55)</f>
        <v>#REF!</v>
      </c>
    </row>
    <row r="56" spans="1:16" hidden="1" x14ac:dyDescent="0.4">
      <c r="A56" s="1" t="s">
        <v>243</v>
      </c>
      <c r="B56" s="1" t="e">
        <f>COUNTIF(总课表!#REF!,A56)+COUNTIF(总课表!#REF!,A56)+COUNTIF(总课表!#REF!,A56)+COUNTIF(总课表!#REF!,A56)+COUNTIF(总课表!#REF!,A56)+COUNTIF(总课表!#REF!,A56)</f>
        <v>#REF!</v>
      </c>
      <c r="C56" s="1" t="e">
        <f>COUNTIF(总课表!#REF!,A56)+COUNTIF(总课表!#REF!,A56)+COUNTIF(总课表!#REF!,A56)+COUNTIF(总课表!#REF!,A56)+COUNTIF(总课表!#REF!,A56)+COUNTIF(总课表!#REF!,A56)</f>
        <v>#REF!</v>
      </c>
      <c r="D56" s="1" t="e">
        <f>COUNTIF(总课表!#REF!,A56)+COUNTIF(总课表!#REF!,A56)+COUNTIF(总课表!#REF!,A56)+COUNTIF(总课表!#REF!,A56)+COUNTIF(总课表!#REF!,A56)+COUNTIF(总课表!#REF!,A56)</f>
        <v>#REF!</v>
      </c>
      <c r="E56" s="1" t="e">
        <f>COUNTIF(总课表!#REF!,A56)+COUNTIF(总课表!#REF!,A56)+COUNTIF(总课表!#REF!,A56)+COUNTIF(总课表!#REF!,A56)+COUNTIF(总课表!#REF!,A56)+COUNTIF(总课表!#REF!,A56)</f>
        <v>#REF!</v>
      </c>
      <c r="F56" s="1" t="e">
        <f>COUNTIF(总课表!C$32:C$37,A56)+COUNTIF(总课表!AA$32:AA$37,A56)+COUNTIF(总课表!AY$32:AY$37,A56)+COUNTIF(总课表!BW$32:BW$37,A56)+COUNTIF(总课表!CU$32:CU$37,A56)+COUNTIF(总课表!#REF!,A56)</f>
        <v>#REF!</v>
      </c>
      <c r="G56" s="1" t="e">
        <f>COUNTIF(总课表!D$32:D$37,A56)+COUNTIF(总课表!AB$32:AB$37,A56)+COUNTIF(总课表!AZ$32:AZ$37,A56)+COUNTIF(总课表!BX$32:BX$37,A56)+COUNTIF(总课表!CV$32:CV$37,A56)+COUNTIF(总课表!#REF!,A56)</f>
        <v>#REF!</v>
      </c>
      <c r="H56" s="1" t="e">
        <f>COUNTIF(总课表!E$32:E$37,A56)+COUNTIF(总课表!AC$32:AC$37,A56)+COUNTIF(总课表!BA$32:BA$37,A56)+COUNTIF(总课表!BY$32:BY$37,A56)+COUNTIF(总课表!CW$32:CW$37,A56)+COUNTIF(总课表!#REF!,A56)</f>
        <v>#REF!</v>
      </c>
      <c r="I56" s="1" t="e">
        <f>COUNTIF(总课表!F$32:F$37,A56)+COUNTIF(总课表!AD$32:AD$37,A56)+COUNTIF(总课表!BB$32:BB$37,A56)+COUNTIF(总课表!BZ$32:BZ$37,A56)+COUNTIF(总课表!CX$32:CX$37,A56)+COUNTIF(总课表!#REF!,A56)</f>
        <v>#REF!</v>
      </c>
      <c r="J56" s="1" t="e">
        <f>COUNTIF(总课表!G$32:G$37,A56)+COUNTIF(总课表!AE$32:AE$37,A56)+COUNTIF(总课表!BC$32:BC$37,A56)+COUNTIF(总课表!CA$32:CA$37,A56)+COUNTIF(总课表!CY$32:CY$37,A56)+COUNTIF(总课表!#REF!,A56)</f>
        <v>#REF!</v>
      </c>
      <c r="K56" s="1" t="e">
        <f>COUNTIF(总课表!H$32:H$37,A56)+COUNTIF(总课表!AF$32:AF$37,A56)+COUNTIF(总课表!BD$32:BD$37,A56)+COUNTIF(总课表!CB$32:CB$37,A56)+COUNTIF(总课表!CZ$32:CZ$37,A56)+COUNTIF(总课表!#REF!,A56)</f>
        <v>#REF!</v>
      </c>
      <c r="L56" s="1" t="e">
        <f>COUNTIF(总课表!I$32:I$37,A56)+COUNTIF(总课表!AG$32:AG$37,A56)+COUNTIF(总课表!BE$32:BE$37,A56)+COUNTIF(总课表!CC$32:CC$37,A56)+COUNTIF(总课表!DA$32:DA$37,A56)+COUNTIF(总课表!#REF!,A56)</f>
        <v>#REF!</v>
      </c>
      <c r="M56" s="1"/>
      <c r="N56" s="1" t="e">
        <f>COUNTIF(总课表!K$32:K$37,A56)+COUNTIF(总课表!AI$32:AI$37,A56)+COUNTIF(总课表!BG$32:BG$37,A56)+COUNTIF(总课表!CE$32:CE$37,A56)+COUNTIF(总课表!DC$32:DC$37,A56)+COUNTIF(总课表!#REF!,A56)</f>
        <v>#REF!</v>
      </c>
      <c r="O56" s="1" t="e">
        <f>COUNTIF(总课表!L$32:L$37,A56)+COUNTIF(总课表!AJ$32:AJ$37,A56)+COUNTIF(总课表!BH$32:BH$37,A56)+COUNTIF(总课表!CF$32:CF$37,A56)+COUNTIF(总课表!DD$32:DD$37,A56)+COUNTIF(总课表!#REF!,A56)</f>
        <v>#REF!</v>
      </c>
      <c r="P56" s="1" t="e">
        <f>COUNTIF(总课表!M$32:M$37,A56)+COUNTIF(总课表!AK$32:AK$37,A56)+COUNTIF(总课表!BI$32:BI$37,A56)+COUNTIF(总课表!CG$32:CG$37,A56)+COUNTIF(总课表!DE$32:DE$37,A56)+COUNTIF(总课表!#REF!,A56)</f>
        <v>#REF!</v>
      </c>
    </row>
    <row r="57" spans="1:16" hidden="1" x14ac:dyDescent="0.4">
      <c r="A57" s="1" t="s">
        <v>244</v>
      </c>
      <c r="B57" s="1" t="e">
        <f>COUNTIF(总课表!#REF!,A57)+COUNTIF(总课表!#REF!,A57)+COUNTIF(总课表!#REF!,A57)+COUNTIF(总课表!#REF!,A57)+COUNTIF(总课表!#REF!,A57)+COUNTIF(总课表!#REF!,A57)</f>
        <v>#REF!</v>
      </c>
      <c r="C57" s="1" t="e">
        <f>COUNTIF(总课表!#REF!,A57)+COUNTIF(总课表!#REF!,A57)+COUNTIF(总课表!#REF!,A57)+COUNTIF(总课表!#REF!,A57)+COUNTIF(总课表!#REF!,A57)+COUNTIF(总课表!#REF!,A57)</f>
        <v>#REF!</v>
      </c>
      <c r="D57" s="1" t="e">
        <f>COUNTIF(总课表!#REF!,A57)+COUNTIF(总课表!#REF!,A57)+COUNTIF(总课表!#REF!,A57)+COUNTIF(总课表!#REF!,A57)+COUNTIF(总课表!#REF!,A57)+COUNTIF(总课表!#REF!,A57)</f>
        <v>#REF!</v>
      </c>
      <c r="E57" s="1" t="e">
        <f>COUNTIF(总课表!#REF!,A57)+COUNTIF(总课表!#REF!,A57)+COUNTIF(总课表!#REF!,A57)+COUNTIF(总课表!#REF!,A57)+COUNTIF(总课表!#REF!,A57)+COUNTIF(总课表!#REF!,A57)</f>
        <v>#REF!</v>
      </c>
      <c r="F57" s="1" t="e">
        <f>COUNTIF(总课表!C$32:C$37,A57)+COUNTIF(总课表!AA$32:AA$37,A57)+COUNTIF(总课表!AY$32:AY$37,A57)+COUNTIF(总课表!BW$32:BW$37,A57)+COUNTIF(总课表!CU$32:CU$37,A57)+COUNTIF(总课表!#REF!,A57)</f>
        <v>#REF!</v>
      </c>
      <c r="G57" s="1" t="e">
        <f>COUNTIF(总课表!D$32:D$37,A57)+COUNTIF(总课表!AB$32:AB$37,A57)+COUNTIF(总课表!AZ$32:AZ$37,A57)+COUNTIF(总课表!BX$32:BX$37,A57)+COUNTIF(总课表!CV$32:CV$37,A57)+COUNTIF(总课表!#REF!,A57)</f>
        <v>#REF!</v>
      </c>
      <c r="H57" s="1" t="e">
        <f>COUNTIF(总课表!E$32:E$37,A57)+COUNTIF(总课表!AC$32:AC$37,A57)+COUNTIF(总课表!BA$32:BA$37,A57)+COUNTIF(总课表!BY$32:BY$37,A57)+COUNTIF(总课表!CW$32:CW$37,A57)+COUNTIF(总课表!#REF!,A57)</f>
        <v>#REF!</v>
      </c>
      <c r="I57" s="1" t="e">
        <f>COUNTIF(总课表!F$32:F$37,A57)+COUNTIF(总课表!AD$32:AD$37,A57)+COUNTIF(总课表!BB$32:BB$37,A57)+COUNTIF(总课表!BZ$32:BZ$37,A57)+COUNTIF(总课表!CX$32:CX$37,A57)+COUNTIF(总课表!#REF!,A57)</f>
        <v>#REF!</v>
      </c>
      <c r="J57" s="1" t="e">
        <f>COUNTIF(总课表!G$32:G$37,A57)+COUNTIF(总课表!AE$32:AE$37,A57)+COUNTIF(总课表!BC$32:BC$37,A57)+COUNTIF(总课表!CA$32:CA$37,A57)+COUNTIF(总课表!CY$32:CY$37,A57)+COUNTIF(总课表!#REF!,A57)</f>
        <v>#REF!</v>
      </c>
      <c r="K57" s="1" t="e">
        <f>COUNTIF(总课表!H$32:H$37,A57)+COUNTIF(总课表!AF$32:AF$37,A57)+COUNTIF(总课表!BD$32:BD$37,A57)+COUNTIF(总课表!CB$32:CB$37,A57)+COUNTIF(总课表!CZ$32:CZ$37,A57)+COUNTIF(总课表!#REF!,A57)</f>
        <v>#REF!</v>
      </c>
      <c r="L57" s="1" t="e">
        <f>COUNTIF(总课表!I$32:I$37,A57)+COUNTIF(总课表!AG$32:AG$37,A57)+COUNTIF(总课表!BE$32:BE$37,A57)+COUNTIF(总课表!CC$32:CC$37,A57)+COUNTIF(总课表!DA$32:DA$37,A57)+COUNTIF(总课表!#REF!,A57)</f>
        <v>#REF!</v>
      </c>
      <c r="M57" s="1"/>
      <c r="N57" s="1" t="e">
        <f>COUNTIF(总课表!K$32:K$37,A57)+COUNTIF(总课表!AI$32:AI$37,A57)+COUNTIF(总课表!BG$32:BG$37,A57)+COUNTIF(总课表!CE$32:CE$37,A57)+COUNTIF(总课表!DC$32:DC$37,A57)+COUNTIF(总课表!#REF!,A57)</f>
        <v>#REF!</v>
      </c>
      <c r="O57" s="1" t="e">
        <f>COUNTIF(总课表!L$32:L$37,A57)+COUNTIF(总课表!AJ$32:AJ$37,A57)+COUNTIF(总课表!BH$32:BH$37,A57)+COUNTIF(总课表!CF$32:CF$37,A57)+COUNTIF(总课表!DD$32:DD$37,A57)+COUNTIF(总课表!#REF!,A57)</f>
        <v>#REF!</v>
      </c>
      <c r="P57" s="1" t="e">
        <f>COUNTIF(总课表!M$32:M$37,A57)+COUNTIF(总课表!AK$32:AK$37,A57)+COUNTIF(总课表!BI$32:BI$37,A57)+COUNTIF(总课表!CG$32:CG$37,A57)+COUNTIF(总课表!DE$32:DE$37,A57)+COUNTIF(总课表!#REF!,A57)</f>
        <v>#REF!</v>
      </c>
    </row>
    <row r="58" spans="1:16" hidden="1" x14ac:dyDescent="0.4">
      <c r="A58" s="1" t="s">
        <v>81</v>
      </c>
      <c r="B58" s="1" t="e">
        <f>COUNTIF(总课表!#REF!,A58)+COUNTIF(总课表!#REF!,A58)+COUNTIF(总课表!#REF!,A58)+COUNTIF(总课表!#REF!,A58)+COUNTIF(总课表!#REF!,A58)+COUNTIF(总课表!#REF!,A58)</f>
        <v>#REF!</v>
      </c>
      <c r="C58" s="1" t="e">
        <f>COUNTIF(总课表!#REF!,A58)+COUNTIF(总课表!#REF!,A58)+COUNTIF(总课表!#REF!,A58)+COUNTIF(总课表!#REF!,A58)+COUNTIF(总课表!#REF!,A58)+COUNTIF(总课表!#REF!,A58)</f>
        <v>#REF!</v>
      </c>
      <c r="D58" s="1" t="e">
        <f>COUNTIF(总课表!#REF!,A58)+COUNTIF(总课表!#REF!,A58)+COUNTIF(总课表!#REF!,A58)+COUNTIF(总课表!#REF!,A58)+COUNTIF(总课表!#REF!,A58)+COUNTIF(总课表!#REF!,A58)</f>
        <v>#REF!</v>
      </c>
      <c r="E58" s="1" t="e">
        <f>COUNTIF(总课表!#REF!,A58)+COUNTIF(总课表!#REF!,A58)+COUNTIF(总课表!#REF!,A58)+COUNTIF(总课表!#REF!,A58)+COUNTIF(总课表!#REF!,A58)+COUNTIF(总课表!#REF!,A58)</f>
        <v>#REF!</v>
      </c>
      <c r="F58" s="1" t="e">
        <f>COUNTIF(总课表!C$32:C$37,A58)+COUNTIF(总课表!AA$32:AA$37,A58)+COUNTIF(总课表!AY$32:AY$37,A58)+COUNTIF(总课表!BW$32:BW$37,A58)+COUNTIF(总课表!CU$32:CU$37,A58)+COUNTIF(总课表!#REF!,A58)</f>
        <v>#REF!</v>
      </c>
      <c r="G58" s="1" t="e">
        <f>COUNTIF(总课表!D$32:D$37,A58)+COUNTIF(总课表!AB$32:AB$37,A58)+COUNTIF(总课表!AZ$32:AZ$37,A58)+COUNTIF(总课表!BX$32:BX$37,A58)+COUNTIF(总课表!CV$32:CV$37,A58)+COUNTIF(总课表!#REF!,A58)</f>
        <v>#REF!</v>
      </c>
      <c r="H58" s="1" t="e">
        <f>COUNTIF(总课表!E$32:E$37,A58)+COUNTIF(总课表!AC$32:AC$37,A58)+COUNTIF(总课表!BA$32:BA$37,A58)+COUNTIF(总课表!BY$32:BY$37,A58)+COUNTIF(总课表!CW$32:CW$37,A58)+COUNTIF(总课表!#REF!,A58)</f>
        <v>#REF!</v>
      </c>
      <c r="I58" s="1" t="e">
        <f>COUNTIF(总课表!F$32:F$37,A58)+COUNTIF(总课表!AD$32:AD$37,A58)+COUNTIF(总课表!BB$32:BB$37,A58)+COUNTIF(总课表!BZ$32:BZ$37,A58)+COUNTIF(总课表!CX$32:CX$37,A58)+COUNTIF(总课表!#REF!,A58)</f>
        <v>#REF!</v>
      </c>
      <c r="J58" s="1" t="e">
        <f>COUNTIF(总课表!G$32:G$37,A58)+COUNTIF(总课表!AE$32:AE$37,A58)+COUNTIF(总课表!BC$32:BC$37,A58)+COUNTIF(总课表!CA$32:CA$37,A58)+COUNTIF(总课表!CY$32:CY$37,A58)+COUNTIF(总课表!#REF!,A58)</f>
        <v>#REF!</v>
      </c>
      <c r="K58" s="1" t="e">
        <f>COUNTIF(总课表!H$32:H$37,A58)+COUNTIF(总课表!AF$32:AF$37,A58)+COUNTIF(总课表!BD$32:BD$37,A58)+COUNTIF(总课表!CB$32:CB$37,A58)+COUNTIF(总课表!CZ$32:CZ$37,A58)+COUNTIF(总课表!#REF!,A58)</f>
        <v>#REF!</v>
      </c>
      <c r="L58" s="1" t="e">
        <f>COUNTIF(总课表!I$32:I$37,A58)+COUNTIF(总课表!AG$32:AG$37,A58)+COUNTIF(总课表!BE$32:BE$37,A58)+COUNTIF(总课表!CC$32:CC$37,A58)+COUNTIF(总课表!DA$32:DA$37,A58)+COUNTIF(总课表!#REF!,A58)</f>
        <v>#REF!</v>
      </c>
      <c r="M58" s="1"/>
      <c r="N58" s="1" t="e">
        <f>COUNTIF(总课表!K$32:K$37,A58)+COUNTIF(总课表!AI$32:AI$37,A58)+COUNTIF(总课表!BG$32:BG$37,A58)+COUNTIF(总课表!CE$32:CE$37,A58)+COUNTIF(总课表!DC$32:DC$37,A58)+COUNTIF(总课表!#REF!,A58)</f>
        <v>#REF!</v>
      </c>
      <c r="O58" s="1" t="e">
        <f>COUNTIF(总课表!L$32:L$37,A58)+COUNTIF(总课表!AJ$32:AJ$37,A58)+COUNTIF(总课表!BH$32:BH$37,A58)+COUNTIF(总课表!CF$32:CF$37,A58)+COUNTIF(总课表!DD$32:DD$37,A58)+COUNTIF(总课表!#REF!,A58)</f>
        <v>#REF!</v>
      </c>
      <c r="P58" s="1" t="e">
        <f>COUNTIF(总课表!M$32:M$37,A58)+COUNTIF(总课表!AK$32:AK$37,A58)+COUNTIF(总课表!BI$32:BI$37,A58)+COUNTIF(总课表!CG$32:CG$37,A58)+COUNTIF(总课表!DE$32:DE$37,A58)+COUNTIF(总课表!#REF!,A58)</f>
        <v>#REF!</v>
      </c>
    </row>
    <row r="59" spans="1:16" hidden="1" x14ac:dyDescent="0.4">
      <c r="A59" s="1" t="s">
        <v>85</v>
      </c>
      <c r="B59" s="1" t="e">
        <f>COUNTIF(总课表!#REF!,A59)+COUNTIF(总课表!#REF!,A59)+COUNTIF(总课表!#REF!,A59)+COUNTIF(总课表!#REF!,A59)+COUNTIF(总课表!#REF!,A59)+COUNTIF(总课表!#REF!,A59)</f>
        <v>#REF!</v>
      </c>
      <c r="C59" s="1" t="e">
        <f>COUNTIF(总课表!#REF!,A59)+COUNTIF(总课表!#REF!,A59)+COUNTIF(总课表!#REF!,A59)+COUNTIF(总课表!#REF!,A59)+COUNTIF(总课表!#REF!,A59)+COUNTIF(总课表!#REF!,A59)</f>
        <v>#REF!</v>
      </c>
      <c r="D59" s="1" t="e">
        <f>COUNTIF(总课表!#REF!,A59)+COUNTIF(总课表!#REF!,A59)+COUNTIF(总课表!#REF!,A59)+COUNTIF(总课表!#REF!,A59)+COUNTIF(总课表!#REF!,A59)+COUNTIF(总课表!#REF!,A59)</f>
        <v>#REF!</v>
      </c>
      <c r="E59" s="1" t="e">
        <f>COUNTIF(总课表!#REF!,A59)+COUNTIF(总课表!#REF!,A59)+COUNTIF(总课表!#REF!,A59)+COUNTIF(总课表!#REF!,A59)+COUNTIF(总课表!#REF!,A59)+COUNTIF(总课表!#REF!,A59)</f>
        <v>#REF!</v>
      </c>
      <c r="F59" s="1" t="e">
        <f>COUNTIF(总课表!C$32:C$37,A59)+COUNTIF(总课表!AA$32:AA$37,A59)+COUNTIF(总课表!AY$32:AY$37,A59)+COUNTIF(总课表!BW$32:BW$37,A59)+COUNTIF(总课表!CU$32:CU$37,A59)+COUNTIF(总课表!#REF!,A59)</f>
        <v>#REF!</v>
      </c>
      <c r="G59" s="1" t="e">
        <f>COUNTIF(总课表!D$32:D$37,A59)+COUNTIF(总课表!AB$32:AB$37,A59)+COUNTIF(总课表!AZ$32:AZ$37,A59)+COUNTIF(总课表!BX$32:BX$37,A59)+COUNTIF(总课表!CV$32:CV$37,A59)+COUNTIF(总课表!#REF!,A59)</f>
        <v>#REF!</v>
      </c>
      <c r="H59" s="1" t="e">
        <f>COUNTIF(总课表!E$32:E$37,A59)+COUNTIF(总课表!AC$32:AC$37,A59)+COUNTIF(总课表!BA$32:BA$37,A59)+COUNTIF(总课表!BY$32:BY$37,A59)+COUNTIF(总课表!CW$32:CW$37,A59)+COUNTIF(总课表!#REF!,A59)</f>
        <v>#REF!</v>
      </c>
      <c r="I59" s="1" t="e">
        <f>COUNTIF(总课表!F$32:F$37,A59)+COUNTIF(总课表!AD$32:AD$37,A59)+COUNTIF(总课表!BB$32:BB$37,A59)+COUNTIF(总课表!BZ$32:BZ$37,A59)+COUNTIF(总课表!CX$32:CX$37,A59)+COUNTIF(总课表!#REF!,A59)</f>
        <v>#REF!</v>
      </c>
      <c r="J59" s="1" t="e">
        <f>COUNTIF(总课表!G$32:G$37,A59)+COUNTIF(总课表!AE$32:AE$37,A59)+COUNTIF(总课表!BC$32:BC$37,A59)+COUNTIF(总课表!CA$32:CA$37,A59)+COUNTIF(总课表!CY$32:CY$37,A59)+COUNTIF(总课表!#REF!,A59)</f>
        <v>#REF!</v>
      </c>
      <c r="K59" s="1" t="e">
        <f>COUNTIF(总课表!H$32:H$37,A59)+COUNTIF(总课表!AF$32:AF$37,A59)+COUNTIF(总课表!BD$32:BD$37,A59)+COUNTIF(总课表!CB$32:CB$37,A59)+COUNTIF(总课表!CZ$32:CZ$37,A59)+COUNTIF(总课表!#REF!,A59)</f>
        <v>#REF!</v>
      </c>
      <c r="L59" s="1" t="e">
        <f>COUNTIF(总课表!I$32:I$37,A59)+COUNTIF(总课表!AG$32:AG$37,A59)+COUNTIF(总课表!BE$32:BE$37,A59)+COUNTIF(总课表!CC$32:CC$37,A59)+COUNTIF(总课表!DA$32:DA$37,A59)+COUNTIF(总课表!#REF!,A59)</f>
        <v>#REF!</v>
      </c>
      <c r="M59" s="1"/>
      <c r="N59" s="1" t="e">
        <f>COUNTIF(总课表!K$32:K$37,A59)+COUNTIF(总课表!AI$32:AI$37,A59)+COUNTIF(总课表!BG$32:BG$37,A59)+COUNTIF(总课表!CE$32:CE$37,A59)+COUNTIF(总课表!DC$32:DC$37,A59)+COUNTIF(总课表!#REF!,A59)</f>
        <v>#REF!</v>
      </c>
      <c r="O59" s="1" t="e">
        <f>COUNTIF(总课表!L$32:L$37,A59)+COUNTIF(总课表!AJ$32:AJ$37,A59)+COUNTIF(总课表!BH$32:BH$37,A59)+COUNTIF(总课表!CF$32:CF$37,A59)+COUNTIF(总课表!DD$32:DD$37,A59)+COUNTIF(总课表!#REF!,A59)</f>
        <v>#REF!</v>
      </c>
      <c r="P59" s="1" t="e">
        <f>COUNTIF(总课表!M$32:M$37,A59)+COUNTIF(总课表!AK$32:AK$37,A59)+COUNTIF(总课表!BI$32:BI$37,A59)+COUNTIF(总课表!CG$32:CG$37,A59)+COUNTIF(总课表!DE$32:DE$37,A59)+COUNTIF(总课表!#REF!,A59)</f>
        <v>#REF!</v>
      </c>
    </row>
    <row r="60" spans="1:16" hidden="1" x14ac:dyDescent="0.4">
      <c r="A60" s="1" t="s">
        <v>87</v>
      </c>
      <c r="B60" s="1" t="e">
        <f>COUNTIF(总课表!#REF!,A60)+COUNTIF(总课表!#REF!,A60)+COUNTIF(总课表!#REF!,A60)+COUNTIF(总课表!#REF!,A60)+COUNTIF(总课表!#REF!,A60)+COUNTIF(总课表!#REF!,A60)</f>
        <v>#REF!</v>
      </c>
      <c r="C60" s="1" t="e">
        <f>COUNTIF(总课表!#REF!,A60)+COUNTIF(总课表!#REF!,A60)+COUNTIF(总课表!#REF!,A60)+COUNTIF(总课表!#REF!,A60)+COUNTIF(总课表!#REF!,A60)+COUNTIF(总课表!#REF!,A60)</f>
        <v>#REF!</v>
      </c>
      <c r="D60" s="1" t="e">
        <f>COUNTIF(总课表!#REF!,A60)+COUNTIF(总课表!#REF!,A60)+COUNTIF(总课表!#REF!,A60)+COUNTIF(总课表!#REF!,A60)+COUNTIF(总课表!#REF!,A60)+COUNTIF(总课表!#REF!,A60)</f>
        <v>#REF!</v>
      </c>
      <c r="E60" s="1" t="e">
        <f>COUNTIF(总课表!#REF!,A60)+COUNTIF(总课表!#REF!,A60)+COUNTIF(总课表!#REF!,A60)+COUNTIF(总课表!#REF!,A60)+COUNTIF(总课表!#REF!,A60)+COUNTIF(总课表!#REF!,A60)</f>
        <v>#REF!</v>
      </c>
      <c r="F60" s="1" t="e">
        <f>COUNTIF(总课表!C$32:C$37,A60)+COUNTIF(总课表!AA$32:AA$37,A60)+COUNTIF(总课表!AY$32:AY$37,A60)+COUNTIF(总课表!BW$32:BW$37,A60)+COUNTIF(总课表!CU$32:CU$37,A60)+COUNTIF(总课表!#REF!,A60)</f>
        <v>#REF!</v>
      </c>
      <c r="G60" s="1" t="e">
        <f>COUNTIF(总课表!D$32:D$37,A60)+COUNTIF(总课表!AB$32:AB$37,A60)+COUNTIF(总课表!AZ$32:AZ$37,A60)+COUNTIF(总课表!BX$32:BX$37,A60)+COUNTIF(总课表!CV$32:CV$37,A60)+COUNTIF(总课表!#REF!,A60)</f>
        <v>#REF!</v>
      </c>
      <c r="H60" s="1" t="e">
        <f>COUNTIF(总课表!E$32:E$37,A60)+COUNTIF(总课表!AC$32:AC$37,A60)+COUNTIF(总课表!BA$32:BA$37,A60)+COUNTIF(总课表!BY$32:BY$37,A60)+COUNTIF(总课表!CW$32:CW$37,A60)+COUNTIF(总课表!#REF!,A60)</f>
        <v>#REF!</v>
      </c>
      <c r="I60" s="1" t="e">
        <f>COUNTIF(总课表!F$32:F$37,A60)+COUNTIF(总课表!AD$32:AD$37,A60)+COUNTIF(总课表!BB$32:BB$37,A60)+COUNTIF(总课表!BZ$32:BZ$37,A60)+COUNTIF(总课表!CX$32:CX$37,A60)+COUNTIF(总课表!#REF!,A60)</f>
        <v>#REF!</v>
      </c>
      <c r="J60" s="1" t="e">
        <f>COUNTIF(总课表!G$32:G$37,A60)+COUNTIF(总课表!AE$32:AE$37,A60)+COUNTIF(总课表!BC$32:BC$37,A60)+COUNTIF(总课表!CA$32:CA$37,A60)+COUNTIF(总课表!CY$32:CY$37,A60)+COUNTIF(总课表!#REF!,A60)</f>
        <v>#REF!</v>
      </c>
      <c r="K60" s="1" t="e">
        <f>COUNTIF(总课表!H$32:H$37,A60)+COUNTIF(总课表!AF$32:AF$37,A60)+COUNTIF(总课表!BD$32:BD$37,A60)+COUNTIF(总课表!CB$32:CB$37,A60)+COUNTIF(总课表!CZ$32:CZ$37,A60)+COUNTIF(总课表!#REF!,A60)</f>
        <v>#REF!</v>
      </c>
      <c r="L60" s="1" t="e">
        <f>COUNTIF(总课表!I$32:I$37,A60)+COUNTIF(总课表!AG$32:AG$37,A60)+COUNTIF(总课表!BE$32:BE$37,A60)+COUNTIF(总课表!CC$32:CC$37,A60)+COUNTIF(总课表!DA$32:DA$37,A60)+COUNTIF(总课表!#REF!,A60)</f>
        <v>#REF!</v>
      </c>
      <c r="M60" s="1"/>
      <c r="N60" s="1" t="e">
        <f>COUNTIF(总课表!K$32:K$37,A60)+COUNTIF(总课表!AI$32:AI$37,A60)+COUNTIF(总课表!BG$32:BG$37,A60)+COUNTIF(总课表!CE$32:CE$37,A60)+COUNTIF(总课表!DC$32:DC$37,A60)+COUNTIF(总课表!#REF!,A60)</f>
        <v>#REF!</v>
      </c>
      <c r="O60" s="1" t="e">
        <f>COUNTIF(总课表!L$32:L$37,A60)+COUNTIF(总课表!AJ$32:AJ$37,A60)+COUNTIF(总课表!BH$32:BH$37,A60)+COUNTIF(总课表!CF$32:CF$37,A60)+COUNTIF(总课表!DD$32:DD$37,A60)+COUNTIF(总课表!#REF!,A60)</f>
        <v>#REF!</v>
      </c>
      <c r="P60" s="1" t="e">
        <f>COUNTIF(总课表!M$32:M$37,A60)+COUNTIF(总课表!AK$32:AK$37,A60)+COUNTIF(总课表!BI$32:BI$37,A60)+COUNTIF(总课表!CG$32:CG$37,A60)+COUNTIF(总课表!DE$32:DE$37,A60)+COUNTIF(总课表!#REF!,A60)</f>
        <v>#REF!</v>
      </c>
    </row>
    <row r="61" spans="1:16" hidden="1" x14ac:dyDescent="0.4">
      <c r="A61" s="5" t="s">
        <v>229</v>
      </c>
      <c r="B61" s="5" t="e">
        <f t="shared" ref="B61:P61" si="4">SUM(B48:B60)</f>
        <v>#REF!</v>
      </c>
      <c r="C61" s="5" t="e">
        <f t="shared" si="4"/>
        <v>#REF!</v>
      </c>
      <c r="D61" s="5" t="e">
        <f t="shared" si="4"/>
        <v>#REF!</v>
      </c>
      <c r="E61" s="5" t="e">
        <f t="shared" ref="E61" si="5">SUM(E48:E60)</f>
        <v>#REF!</v>
      </c>
      <c r="F61" s="5" t="e">
        <f t="shared" si="4"/>
        <v>#REF!</v>
      </c>
      <c r="G61" s="5" t="e">
        <f t="shared" si="4"/>
        <v>#REF!</v>
      </c>
      <c r="H61" s="5" t="e">
        <f t="shared" si="4"/>
        <v>#REF!</v>
      </c>
      <c r="I61" s="5" t="e">
        <f t="shared" si="4"/>
        <v>#REF!</v>
      </c>
      <c r="J61" s="5" t="e">
        <f t="shared" si="4"/>
        <v>#REF!</v>
      </c>
      <c r="K61" s="5" t="e">
        <f t="shared" si="4"/>
        <v>#REF!</v>
      </c>
      <c r="L61" s="5" t="e">
        <f t="shared" ref="L61" si="6">SUM(L48:L60)</f>
        <v>#REF!</v>
      </c>
      <c r="M61" s="5"/>
      <c r="N61" s="5" t="e">
        <f t="shared" si="4"/>
        <v>#REF!</v>
      </c>
      <c r="O61" s="5" t="e">
        <f t="shared" si="4"/>
        <v>#REF!</v>
      </c>
      <c r="P61" s="5" t="e">
        <f t="shared" si="4"/>
        <v>#REF!</v>
      </c>
    </row>
    <row r="62" spans="1:16" ht="23.25" hidden="1" x14ac:dyDescent="0.4">
      <c r="A62" s="254" t="s">
        <v>245</v>
      </c>
      <c r="B62" s="254"/>
      <c r="C62" s="254"/>
      <c r="D62" s="254"/>
      <c r="E62" s="254"/>
      <c r="F62" s="254"/>
      <c r="G62" s="254"/>
      <c r="H62" s="254"/>
      <c r="I62" s="254"/>
      <c r="J62" s="254"/>
      <c r="K62" s="254"/>
      <c r="L62" s="254"/>
      <c r="M62" s="254"/>
      <c r="N62" s="254"/>
      <c r="O62" s="254"/>
      <c r="P62" s="254"/>
    </row>
    <row r="63" spans="1:16" hidden="1" x14ac:dyDescent="0.4">
      <c r="A63" s="6" t="s">
        <v>241</v>
      </c>
      <c r="B63" s="6">
        <v>701</v>
      </c>
      <c r="C63" s="6">
        <v>702</v>
      </c>
      <c r="D63" s="6">
        <v>703</v>
      </c>
      <c r="E63" s="6">
        <v>704</v>
      </c>
      <c r="F63" s="6">
        <v>101</v>
      </c>
      <c r="G63" s="6">
        <v>102</v>
      </c>
      <c r="H63" s="6">
        <v>103</v>
      </c>
      <c r="I63" s="6">
        <v>104</v>
      </c>
      <c r="J63" s="6">
        <v>105</v>
      </c>
      <c r="K63" s="6">
        <v>106</v>
      </c>
      <c r="L63" s="6">
        <v>107</v>
      </c>
      <c r="M63" s="6">
        <v>108</v>
      </c>
      <c r="N63" s="6">
        <v>109</v>
      </c>
      <c r="O63" s="6">
        <v>110</v>
      </c>
      <c r="P63" s="6">
        <v>111</v>
      </c>
    </row>
    <row r="64" spans="1:16" hidden="1" x14ac:dyDescent="0.4">
      <c r="A64" s="1" t="s">
        <v>26</v>
      </c>
      <c r="B64" s="1" t="e">
        <f>COUNTIF(总课表!#REF!,A64)+COUNTIF(总课表!#REF!,A64)+COUNTIF(总课表!#REF!,A64)+COUNTIF(总课表!#REF!,A64)+COUNTIF(总课表!#REF!,A64)+COUNTIF(总课表!#REF!,A64)</f>
        <v>#REF!</v>
      </c>
      <c r="C64" s="1" t="e">
        <f>COUNTIF(总课表!#REF!,A64)+COUNTIF(总课表!#REF!,A64)+COUNTIF(总课表!#REF!,A64)+COUNTIF(总课表!#REF!,A64)+COUNTIF(总课表!#REF!,A64)+COUNTIF(总课表!#REF!,A64)</f>
        <v>#REF!</v>
      </c>
      <c r="D64" s="1" t="e">
        <f>COUNTIF(总课表!#REF!,A64)+COUNTIF(总课表!#REF!,A64)+COUNTIF(总课表!#REF!,A64)+COUNTIF(总课表!#REF!,A64)+COUNTIF(总课表!#REF!,A64)+COUNTIF(总课表!#REF!,A64)</f>
        <v>#REF!</v>
      </c>
      <c r="E64" s="1" t="e">
        <f>COUNTIF(总课表!#REF!,A64)+COUNTIF(总课表!#REF!,A64)+COUNTIF(总课表!#REF!,A64)+COUNTIF(总课表!#REF!,A64)+COUNTIF(总课表!#REF!,A64)+COUNTIF(总课表!#REF!,A64)</f>
        <v>#REF!</v>
      </c>
      <c r="F64" s="1">
        <v>3</v>
      </c>
      <c r="G64" s="1">
        <v>3</v>
      </c>
      <c r="H64" s="1">
        <v>3</v>
      </c>
      <c r="I64" s="1">
        <v>3</v>
      </c>
      <c r="J64" s="1">
        <v>3</v>
      </c>
      <c r="K64" s="1">
        <v>3</v>
      </c>
      <c r="L64" s="1">
        <v>3</v>
      </c>
      <c r="M64" s="1">
        <v>3</v>
      </c>
      <c r="N64" s="1">
        <v>3</v>
      </c>
      <c r="O64" s="1">
        <v>3</v>
      </c>
      <c r="P64" s="1">
        <v>3</v>
      </c>
    </row>
    <row r="65" spans="1:16" hidden="1" x14ac:dyDescent="0.4">
      <c r="A65" s="1" t="s">
        <v>34</v>
      </c>
      <c r="B65" s="1" t="e">
        <f>COUNTIF(总课表!#REF!,A65)+COUNTIF(总课表!#REF!,A65)+COUNTIF(总课表!#REF!,A65)+COUNTIF(总课表!#REF!,A65)+COUNTIF(总课表!#REF!,A65)+COUNTIF(总课表!#REF!,A65)</f>
        <v>#REF!</v>
      </c>
      <c r="C65" s="1" t="e">
        <f>COUNTIF(总课表!#REF!,A65)+COUNTIF(总课表!#REF!,A65)+COUNTIF(总课表!#REF!,A65)+COUNTIF(总课表!#REF!,A65)+COUNTIF(总课表!#REF!,A65)+COUNTIF(总课表!#REF!,A65)</f>
        <v>#REF!</v>
      </c>
      <c r="D65" s="1" t="e">
        <f>COUNTIF(总课表!#REF!,A65)+COUNTIF(总课表!#REF!,A65)+COUNTIF(总课表!#REF!,A65)+COUNTIF(总课表!#REF!,A65)+COUNTIF(总课表!#REF!,A65)+COUNTIF(总课表!#REF!,A65)</f>
        <v>#REF!</v>
      </c>
      <c r="E65" s="1" t="e">
        <f>COUNTIF(总课表!#REF!,A65)+COUNTIF(总课表!#REF!,A65)+COUNTIF(总课表!#REF!,A65)+COUNTIF(总课表!#REF!,A65)+COUNTIF(总课表!#REF!,A65)+COUNTIF(总课表!#REF!,A65)</f>
        <v>#REF!</v>
      </c>
      <c r="F65" s="1">
        <v>4</v>
      </c>
      <c r="G65" s="1">
        <v>4</v>
      </c>
      <c r="H65" s="1">
        <v>4</v>
      </c>
      <c r="I65" s="1">
        <v>4</v>
      </c>
      <c r="J65" s="1">
        <v>4</v>
      </c>
      <c r="K65" s="1">
        <v>4</v>
      </c>
      <c r="L65" s="1">
        <v>4</v>
      </c>
      <c r="M65" s="1">
        <v>4</v>
      </c>
      <c r="N65" s="1">
        <v>4</v>
      </c>
      <c r="O65" s="1">
        <v>4</v>
      </c>
      <c r="P65" s="1">
        <v>4</v>
      </c>
    </row>
    <row r="66" spans="1:16" hidden="1" x14ac:dyDescent="0.4">
      <c r="A66" s="1" t="s">
        <v>136</v>
      </c>
      <c r="B66" s="1" t="e">
        <f>COUNTIF(总课表!#REF!,A66)+COUNTIF(总课表!#REF!,A66)+COUNTIF(总课表!#REF!,A66)+COUNTIF(总课表!#REF!,A66)+COUNTIF(总课表!#REF!,A66)+COUNTIF(总课表!#REF!,A66)</f>
        <v>#REF!</v>
      </c>
      <c r="C66" s="1" t="e">
        <f>COUNTIF(总课表!#REF!,A66)+COUNTIF(总课表!#REF!,A66)+COUNTIF(总课表!#REF!,A66)+COUNTIF(总课表!#REF!,A66)+COUNTIF(总课表!#REF!,A66)+COUNTIF(总课表!#REF!,A66)</f>
        <v>#REF!</v>
      </c>
      <c r="D66" s="1" t="e">
        <f>COUNTIF(总课表!#REF!,A66)+COUNTIF(总课表!#REF!,A66)+COUNTIF(总课表!#REF!,A66)+COUNTIF(总课表!#REF!,A66)+COUNTIF(总课表!#REF!,A66)+COUNTIF(总课表!#REF!,A66)</f>
        <v>#REF!</v>
      </c>
      <c r="E66" s="1" t="e">
        <f>COUNTIF(总课表!#REF!,A66)+COUNTIF(总课表!#REF!,A66)+COUNTIF(总课表!#REF!,A66)+COUNTIF(总课表!#REF!,A66)+COUNTIF(总课表!#REF!,A66)+COUNTIF(总课表!#REF!,A66)</f>
        <v>#REF!</v>
      </c>
      <c r="F66" s="1">
        <v>3</v>
      </c>
      <c r="G66" s="1">
        <v>3</v>
      </c>
      <c r="H66" s="1">
        <v>3</v>
      </c>
      <c r="I66" s="1">
        <v>3</v>
      </c>
      <c r="J66" s="1">
        <v>3</v>
      </c>
      <c r="K66" s="1">
        <v>3</v>
      </c>
      <c r="L66" s="1">
        <v>3</v>
      </c>
      <c r="M66" s="1">
        <v>3</v>
      </c>
      <c r="N66" s="1">
        <v>3</v>
      </c>
      <c r="O66" s="1">
        <v>3</v>
      </c>
      <c r="P66" s="1">
        <v>3</v>
      </c>
    </row>
    <row r="67" spans="1:16" hidden="1" x14ac:dyDescent="0.4">
      <c r="A67" s="1" t="s">
        <v>66</v>
      </c>
      <c r="B67" s="1" t="e">
        <f>COUNTIF(总课表!#REF!,A67)+COUNTIF(总课表!#REF!,A67)+COUNTIF(总课表!#REF!,A67)+COUNTIF(总课表!#REF!,A67)+COUNTIF(总课表!#REF!,A67)+COUNTIF(总课表!#REF!,A67)</f>
        <v>#REF!</v>
      </c>
      <c r="C67" s="1" t="e">
        <f>COUNTIF(总课表!#REF!,A67)+COUNTIF(总课表!#REF!,A67)+COUNTIF(总课表!#REF!,A67)+COUNTIF(总课表!#REF!,A67)+COUNTIF(总课表!#REF!,A67)+COUNTIF(总课表!#REF!,A67)</f>
        <v>#REF!</v>
      </c>
      <c r="D67" s="1" t="e">
        <f>COUNTIF(总课表!#REF!,A67)+COUNTIF(总课表!#REF!,A67)+COUNTIF(总课表!#REF!,A67)+COUNTIF(总课表!#REF!,A67)+COUNTIF(总课表!#REF!,A67)+COUNTIF(总课表!#REF!,A67)</f>
        <v>#REF!</v>
      </c>
      <c r="E67" s="1" t="e">
        <f>COUNTIF(总课表!#REF!,A67)+COUNTIF(总课表!#REF!,A67)+COUNTIF(总课表!#REF!,A67)+COUNTIF(总课表!#REF!,A67)+COUNTIF(总课表!#REF!,A67)+COUNTIF(总课表!#REF!,A67)</f>
        <v>#REF!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</row>
    <row r="68" spans="1:16" hidden="1" x14ac:dyDescent="0.4">
      <c r="A68" s="1" t="s">
        <v>76</v>
      </c>
      <c r="B68" s="1" t="e">
        <f>COUNTIF(总课表!#REF!,A68)+COUNTIF(总课表!#REF!,A68)+COUNTIF(总课表!#REF!,A68)+COUNTIF(总课表!#REF!,A68)+COUNTIF(总课表!#REF!,A68)+COUNTIF(总课表!#REF!,A68)</f>
        <v>#REF!</v>
      </c>
      <c r="C68" s="1" t="e">
        <f>COUNTIF(总课表!#REF!,A68)+COUNTIF(总课表!#REF!,A68)+COUNTIF(总课表!#REF!,A68)+COUNTIF(总课表!#REF!,A68)+COUNTIF(总课表!#REF!,A68)+COUNTIF(总课表!#REF!,A68)</f>
        <v>#REF!</v>
      </c>
      <c r="D68" s="1" t="e">
        <f>COUNTIF(总课表!#REF!,A68)+COUNTIF(总课表!#REF!,A68)+COUNTIF(总课表!#REF!,A68)+COUNTIF(总课表!#REF!,A68)+COUNTIF(总课表!#REF!,A68)+COUNTIF(总课表!#REF!,A68)</f>
        <v>#REF!</v>
      </c>
      <c r="E68" s="1" t="e">
        <f>COUNTIF(总课表!#REF!,A68)+COUNTIF(总课表!#REF!,A68)+COUNTIF(总课表!#REF!,A68)+COUNTIF(总课表!#REF!,A68)+COUNTIF(总课表!#REF!,A68)+COUNTIF(总课表!#REF!,A68)</f>
        <v>#REF!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</row>
    <row r="69" spans="1:16" hidden="1" x14ac:dyDescent="0.4">
      <c r="A69" s="1" t="s">
        <v>62</v>
      </c>
      <c r="B69" s="1" t="e">
        <f>COUNTIF(总课表!#REF!,A69)+COUNTIF(总课表!#REF!,A69)+COUNTIF(总课表!#REF!,A69)+COUNTIF(总课表!#REF!,A69)+COUNTIF(总课表!#REF!,A69)+COUNTIF(总课表!#REF!,A69)</f>
        <v>#REF!</v>
      </c>
      <c r="C69" s="1" t="e">
        <f>COUNTIF(总课表!#REF!,A69)+COUNTIF(总课表!#REF!,A69)+COUNTIF(总课表!#REF!,A69)+COUNTIF(总课表!#REF!,A69)+COUNTIF(总课表!#REF!,A69)+COUNTIF(总课表!#REF!,A69)</f>
        <v>#REF!</v>
      </c>
      <c r="D69" s="1" t="e">
        <f>COUNTIF(总课表!#REF!,A69)+COUNTIF(总课表!#REF!,A69)+COUNTIF(总课表!#REF!,A69)+COUNTIF(总课表!#REF!,A69)+COUNTIF(总课表!#REF!,A69)+COUNTIF(总课表!#REF!,A69)</f>
        <v>#REF!</v>
      </c>
      <c r="E69" s="1" t="e">
        <f>COUNTIF(总课表!#REF!,A69)+COUNTIF(总课表!#REF!,A69)+COUNTIF(总课表!#REF!,A69)+COUNTIF(总课表!#REF!,A69)+COUNTIF(总课表!#REF!,A69)+COUNTIF(总课表!#REF!,A69)</f>
        <v>#REF!</v>
      </c>
      <c r="F69" s="1">
        <v>2</v>
      </c>
      <c r="G69" s="1">
        <v>2</v>
      </c>
      <c r="H69" s="1">
        <v>2</v>
      </c>
      <c r="I69" s="1">
        <v>2</v>
      </c>
      <c r="J69" s="1">
        <v>2</v>
      </c>
      <c r="K69" s="1">
        <v>2</v>
      </c>
      <c r="L69" s="1">
        <v>2</v>
      </c>
      <c r="M69" s="1">
        <v>2</v>
      </c>
      <c r="N69" s="1">
        <v>2</v>
      </c>
      <c r="O69" s="1">
        <v>2</v>
      </c>
      <c r="P69" s="1">
        <v>2</v>
      </c>
    </row>
    <row r="70" spans="1:16" hidden="1" x14ac:dyDescent="0.4">
      <c r="A70" s="1" t="s">
        <v>54</v>
      </c>
      <c r="B70" s="1" t="e">
        <f>COUNTIF(总课表!#REF!,A70)+COUNTIF(总课表!#REF!,A70)+COUNTIF(总课表!#REF!,A70)+COUNTIF(总课表!#REF!,A70)+COUNTIF(总课表!#REF!,A70)+COUNTIF(总课表!#REF!,A70)</f>
        <v>#REF!</v>
      </c>
      <c r="C70" s="1" t="e">
        <f>COUNTIF(总课表!#REF!,A70)+COUNTIF(总课表!#REF!,A70)+COUNTIF(总课表!#REF!,A70)+COUNTIF(总课表!#REF!,A70)+COUNTIF(总课表!#REF!,A70)+COUNTIF(总课表!#REF!,A70)</f>
        <v>#REF!</v>
      </c>
      <c r="D70" s="1" t="e">
        <f>COUNTIF(总课表!#REF!,A70)+COUNTIF(总课表!#REF!,A70)+COUNTIF(总课表!#REF!,A70)+COUNTIF(总课表!#REF!,A70)+COUNTIF(总课表!#REF!,A70)+COUNTIF(总课表!#REF!,A70)</f>
        <v>#REF!</v>
      </c>
      <c r="E70" s="1" t="e">
        <f>COUNTIF(总课表!#REF!,A70)+COUNTIF(总课表!#REF!,A70)+COUNTIF(总课表!#REF!,A70)+COUNTIF(总课表!#REF!,A70)+COUNTIF(总课表!#REF!,A70)+COUNTIF(总课表!#REF!,A70)</f>
        <v>#REF!</v>
      </c>
      <c r="F70" s="1">
        <v>2</v>
      </c>
      <c r="G70" s="1">
        <v>2</v>
      </c>
      <c r="H70" s="1">
        <v>2</v>
      </c>
      <c r="I70" s="1">
        <v>2</v>
      </c>
      <c r="J70" s="1">
        <v>2</v>
      </c>
      <c r="K70" s="1">
        <v>2</v>
      </c>
      <c r="L70" s="1">
        <v>2</v>
      </c>
      <c r="M70" s="1">
        <v>2</v>
      </c>
      <c r="N70" s="1">
        <v>2</v>
      </c>
      <c r="O70" s="1">
        <v>2</v>
      </c>
      <c r="P70" s="1">
        <v>2</v>
      </c>
    </row>
    <row r="71" spans="1:16" hidden="1" x14ac:dyDescent="0.4">
      <c r="A71" s="1" t="s">
        <v>58</v>
      </c>
      <c r="B71" s="1" t="e">
        <f>COUNTIF(总课表!#REF!,A71)+COUNTIF(总课表!#REF!,A71)+COUNTIF(总课表!#REF!,A71)+COUNTIF(总课表!#REF!,A71)+COUNTIF(总课表!#REF!,A71)+COUNTIF(总课表!#REF!,A71)</f>
        <v>#REF!</v>
      </c>
      <c r="C71" s="1" t="e">
        <f>COUNTIF(总课表!#REF!,A71)+COUNTIF(总课表!#REF!,A71)+COUNTIF(总课表!#REF!,A71)+COUNTIF(总课表!#REF!,A71)+COUNTIF(总课表!#REF!,A71)+COUNTIF(总课表!#REF!,A71)</f>
        <v>#REF!</v>
      </c>
      <c r="D71" s="1" t="e">
        <f>COUNTIF(总课表!#REF!,A71)+COUNTIF(总课表!#REF!,A71)+COUNTIF(总课表!#REF!,A71)+COUNTIF(总课表!#REF!,A71)+COUNTIF(总课表!#REF!,A71)+COUNTIF(总课表!#REF!,A71)</f>
        <v>#REF!</v>
      </c>
      <c r="E71" s="1" t="e">
        <f>COUNTIF(总课表!#REF!,A71)+COUNTIF(总课表!#REF!,A71)+COUNTIF(总课表!#REF!,A71)+COUNTIF(总课表!#REF!,A71)+COUNTIF(总课表!#REF!,A71)+COUNTIF(总课表!#REF!,A71)</f>
        <v>#REF!</v>
      </c>
      <c r="F71" s="1">
        <v>2</v>
      </c>
      <c r="G71" s="1">
        <v>2</v>
      </c>
      <c r="H71" s="1">
        <v>2</v>
      </c>
      <c r="I71" s="1">
        <v>2</v>
      </c>
      <c r="J71" s="1">
        <v>2</v>
      </c>
      <c r="K71" s="1">
        <v>2</v>
      </c>
      <c r="L71" s="1">
        <v>2</v>
      </c>
      <c r="M71" s="1">
        <v>2</v>
      </c>
      <c r="N71" s="1">
        <v>2</v>
      </c>
      <c r="O71" s="1">
        <v>2</v>
      </c>
      <c r="P71" s="1">
        <v>2</v>
      </c>
    </row>
    <row r="72" spans="1:16" hidden="1" x14ac:dyDescent="0.4">
      <c r="A72" s="1" t="s">
        <v>71</v>
      </c>
      <c r="B72" s="1" t="e">
        <f>COUNTIF(总课表!#REF!,A72)+COUNTIF(总课表!#REF!,A72)+COUNTIF(总课表!#REF!,A72)+COUNTIF(总课表!#REF!,A72)+COUNTIF(总课表!#REF!,A72)+COUNTIF(总课表!#REF!,A72)</f>
        <v>#REF!</v>
      </c>
      <c r="C72" s="1" t="e">
        <f>COUNTIF(总课表!#REF!,A72)+COUNTIF(总课表!#REF!,A72)+COUNTIF(总课表!#REF!,A72)+COUNTIF(总课表!#REF!,A72)+COUNTIF(总课表!#REF!,A72)+COUNTIF(总课表!#REF!,A72)</f>
        <v>#REF!</v>
      </c>
      <c r="D72" s="1" t="e">
        <f>COUNTIF(总课表!#REF!,A72)+COUNTIF(总课表!#REF!,A72)+COUNTIF(总课表!#REF!,A72)+COUNTIF(总课表!#REF!,A72)+COUNTIF(总课表!#REF!,A72)+COUNTIF(总课表!#REF!,A72)</f>
        <v>#REF!</v>
      </c>
      <c r="E72" s="1" t="e">
        <f>COUNTIF(总课表!#REF!,A72)+COUNTIF(总课表!#REF!,A72)+COUNTIF(总课表!#REF!,A72)+COUNTIF(总课表!#REF!,A72)+COUNTIF(总课表!#REF!,A72)+COUNTIF(总课表!#REF!,A72)</f>
        <v>#REF!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</row>
    <row r="73" spans="1:16" hidden="1" x14ac:dyDescent="0.4">
      <c r="A73" s="1" t="s">
        <v>246</v>
      </c>
      <c r="B73" s="1"/>
      <c r="C73" s="1"/>
      <c r="D73" s="1"/>
      <c r="E73" s="1"/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1</v>
      </c>
      <c r="N73" s="1">
        <v>1</v>
      </c>
      <c r="O73" s="1">
        <v>1</v>
      </c>
      <c r="P73" s="1">
        <v>1</v>
      </c>
    </row>
    <row r="74" spans="1:16" hidden="1" x14ac:dyDescent="0.4">
      <c r="A74" s="5" t="s">
        <v>229</v>
      </c>
      <c r="B74" s="5" t="e">
        <f>SUM(B64:B72)</f>
        <v>#REF!</v>
      </c>
      <c r="C74" s="5" t="e">
        <f>SUM(C64:C72)</f>
        <v>#REF!</v>
      </c>
      <c r="D74" s="5" t="e">
        <f>SUM(D64:D72)</f>
        <v>#REF!</v>
      </c>
      <c r="E74" s="5" t="e">
        <f>SUM(E64:E72)</f>
        <v>#REF!</v>
      </c>
      <c r="F74" s="5">
        <f>SUM(F64:F73)</f>
        <v>20</v>
      </c>
      <c r="G74" s="5">
        <f t="shared" ref="G74:P74" si="7">SUM(G64:G73)</f>
        <v>20</v>
      </c>
      <c r="H74" s="5">
        <f t="shared" si="7"/>
        <v>20</v>
      </c>
      <c r="I74" s="5">
        <f t="shared" si="7"/>
        <v>20</v>
      </c>
      <c r="J74" s="5">
        <f t="shared" si="7"/>
        <v>20</v>
      </c>
      <c r="K74" s="5">
        <f t="shared" si="7"/>
        <v>20</v>
      </c>
      <c r="L74" s="5">
        <f t="shared" si="7"/>
        <v>20</v>
      </c>
      <c r="M74" s="5">
        <f t="shared" si="7"/>
        <v>20</v>
      </c>
      <c r="N74" s="5">
        <f t="shared" si="7"/>
        <v>20</v>
      </c>
      <c r="O74" s="5">
        <f t="shared" si="7"/>
        <v>20</v>
      </c>
      <c r="P74" s="5">
        <f t="shared" si="7"/>
        <v>20</v>
      </c>
    </row>
  </sheetData>
  <mergeCells count="4">
    <mergeCell ref="A1:P1"/>
    <mergeCell ref="A30:P30"/>
    <mergeCell ref="A46:P46"/>
    <mergeCell ref="A62:P62"/>
  </mergeCells>
  <phoneticPr fontId="17" type="noConversion"/>
  <conditionalFormatting sqref="B3:E16 B32:P45 B48:P60">
    <cfRule type="cellIs" dxfId="4" priority="7" operator="equal">
      <formula>0</formula>
    </cfRule>
  </conditionalFormatting>
  <conditionalFormatting sqref="B64:P73">
    <cfRule type="cellIs" dxfId="3" priority="5" operator="equal">
      <formula>0</formula>
    </cfRule>
  </conditionalFormatting>
  <conditionalFormatting sqref="F3:P15">
    <cfRule type="cellIs" dxfId="2" priority="1" operator="equal">
      <formula>0</formula>
    </cfRule>
  </conditionalFormatting>
  <pageMargins left="0.37986111111111098" right="0.219444444444444" top="0.72986111111111096" bottom="0.16944444444444401" header="0.25" footer="0.75"/>
  <pageSetup paperSize="9" fitToHeight="0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3"/>
  <sheetViews>
    <sheetView workbookViewId="0">
      <selection activeCell="R33" sqref="R33"/>
    </sheetView>
  </sheetViews>
  <sheetFormatPr defaultColWidth="9" defaultRowHeight="15.75" x14ac:dyDescent="0.4"/>
  <sheetData>
    <row r="1" spans="1:10" ht="23.25" x14ac:dyDescent="0.4">
      <c r="A1" s="254" t="s">
        <v>247</v>
      </c>
      <c r="B1" s="254"/>
      <c r="C1" s="254"/>
      <c r="D1" s="254"/>
      <c r="E1" s="254"/>
      <c r="F1" s="254"/>
      <c r="G1" s="254"/>
      <c r="H1" s="254"/>
      <c r="I1" s="254"/>
      <c r="J1" s="254"/>
    </row>
    <row r="2" spans="1:10" x14ac:dyDescent="0.4">
      <c r="A2" s="1" t="s">
        <v>241</v>
      </c>
      <c r="B2" s="1" t="s">
        <v>248</v>
      </c>
      <c r="C2" s="1"/>
      <c r="D2" s="1" t="s">
        <v>249</v>
      </c>
      <c r="E2" s="1" t="s">
        <v>250</v>
      </c>
      <c r="F2" s="1" t="s">
        <v>251</v>
      </c>
      <c r="G2" s="1" t="s">
        <v>252</v>
      </c>
      <c r="H2" s="2" t="s">
        <v>253</v>
      </c>
      <c r="I2" s="2" t="s">
        <v>254</v>
      </c>
      <c r="J2" s="3" t="s">
        <v>255</v>
      </c>
    </row>
    <row r="3" spans="1:10" x14ac:dyDescent="0.4">
      <c r="A3" s="1" t="s">
        <v>26</v>
      </c>
      <c r="B3" s="1">
        <v>11</v>
      </c>
      <c r="C3" s="1">
        <v>11</v>
      </c>
      <c r="D3" s="1">
        <v>9</v>
      </c>
      <c r="E3" s="1">
        <v>9</v>
      </c>
      <c r="F3" s="1">
        <v>8</v>
      </c>
      <c r="G3" s="1">
        <v>9</v>
      </c>
      <c r="H3" s="2">
        <v>7</v>
      </c>
      <c r="I3" s="2">
        <v>7</v>
      </c>
      <c r="J3" s="2">
        <v>7</v>
      </c>
    </row>
    <row r="4" spans="1:10" x14ac:dyDescent="0.4">
      <c r="A4" s="1" t="s">
        <v>34</v>
      </c>
      <c r="B4" s="4">
        <v>8</v>
      </c>
      <c r="C4" s="1">
        <v>8</v>
      </c>
      <c r="D4" s="1">
        <v>7</v>
      </c>
      <c r="E4" s="1">
        <v>7</v>
      </c>
      <c r="F4" s="1">
        <v>7</v>
      </c>
      <c r="G4" s="1">
        <v>8</v>
      </c>
      <c r="H4" s="2">
        <v>7</v>
      </c>
      <c r="I4" s="2">
        <v>7</v>
      </c>
      <c r="J4" s="2">
        <v>7</v>
      </c>
    </row>
    <row r="5" spans="1:10" x14ac:dyDescent="0.4">
      <c r="A5" s="1" t="s">
        <v>136</v>
      </c>
      <c r="B5" s="1">
        <v>1</v>
      </c>
      <c r="C5" s="1">
        <v>1</v>
      </c>
      <c r="D5" s="1">
        <v>3</v>
      </c>
      <c r="E5" s="1">
        <v>3</v>
      </c>
      <c r="F5" s="1">
        <v>4</v>
      </c>
      <c r="G5" s="1">
        <v>4</v>
      </c>
      <c r="H5" s="2">
        <v>6</v>
      </c>
      <c r="I5" s="2">
        <v>6</v>
      </c>
      <c r="J5" s="2">
        <v>6</v>
      </c>
    </row>
    <row r="6" spans="1:10" x14ac:dyDescent="0.4">
      <c r="A6" s="1" t="s">
        <v>66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2">
        <v>3</v>
      </c>
      <c r="I6" s="2">
        <v>2</v>
      </c>
      <c r="J6" s="2">
        <v>2</v>
      </c>
    </row>
    <row r="7" spans="1:10" x14ac:dyDescent="0.4">
      <c r="A7" s="1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2">
        <v>3</v>
      </c>
      <c r="I7" s="2">
        <v>2</v>
      </c>
      <c r="J7" s="2">
        <v>2</v>
      </c>
    </row>
    <row r="8" spans="1:10" x14ac:dyDescent="0.4">
      <c r="A8" s="1" t="s">
        <v>62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2">
        <v>3</v>
      </c>
      <c r="I8" s="2">
        <v>2</v>
      </c>
      <c r="J8" s="2">
        <v>2</v>
      </c>
    </row>
    <row r="9" spans="1:10" x14ac:dyDescent="0.4">
      <c r="A9" s="1" t="s">
        <v>54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2">
        <v>0</v>
      </c>
      <c r="I9" s="2">
        <v>3</v>
      </c>
      <c r="J9" s="2">
        <v>4</v>
      </c>
    </row>
    <row r="10" spans="1:10" x14ac:dyDescent="0.4">
      <c r="A10" s="1" t="s">
        <v>58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2">
        <v>0</v>
      </c>
      <c r="I10" s="2"/>
      <c r="J10" s="2">
        <v>4</v>
      </c>
    </row>
    <row r="11" spans="1:10" x14ac:dyDescent="0.4">
      <c r="A11" s="1" t="s">
        <v>243</v>
      </c>
      <c r="B11" s="1">
        <v>3</v>
      </c>
      <c r="C11" s="1">
        <v>3</v>
      </c>
      <c r="D11" s="1">
        <v>2</v>
      </c>
      <c r="E11" s="1">
        <v>2</v>
      </c>
      <c r="F11" s="1">
        <v>2</v>
      </c>
      <c r="G11" s="1">
        <v>2</v>
      </c>
      <c r="H11" s="2">
        <v>3</v>
      </c>
      <c r="I11" s="2">
        <v>2</v>
      </c>
      <c r="J11" s="2">
        <v>2</v>
      </c>
    </row>
    <row r="12" spans="1:10" x14ac:dyDescent="0.4">
      <c r="A12" s="1" t="s">
        <v>244</v>
      </c>
      <c r="B12" s="1">
        <v>1</v>
      </c>
      <c r="C12" s="1">
        <v>1</v>
      </c>
      <c r="D12" s="1">
        <v>2</v>
      </c>
      <c r="E12" s="1">
        <v>2</v>
      </c>
      <c r="F12" s="1">
        <v>2</v>
      </c>
      <c r="G12" s="1">
        <v>2</v>
      </c>
      <c r="H12" s="2">
        <v>0</v>
      </c>
      <c r="I12" s="2">
        <v>0</v>
      </c>
      <c r="J12" s="2">
        <v>0</v>
      </c>
    </row>
    <row r="13" spans="1:10" x14ac:dyDescent="0.4">
      <c r="A13" s="1" t="s">
        <v>81</v>
      </c>
      <c r="B13" s="1">
        <v>2</v>
      </c>
      <c r="C13" s="1">
        <v>2</v>
      </c>
      <c r="D13" s="1">
        <v>2</v>
      </c>
      <c r="E13" s="1">
        <v>2</v>
      </c>
      <c r="F13" s="1">
        <v>2</v>
      </c>
      <c r="G13" s="1">
        <v>2</v>
      </c>
      <c r="H13" s="2">
        <v>2</v>
      </c>
      <c r="I13" s="2">
        <v>2</v>
      </c>
      <c r="J13" s="2">
        <v>2</v>
      </c>
    </row>
    <row r="14" spans="1:10" x14ac:dyDescent="0.4">
      <c r="A14" s="1" t="s">
        <v>85</v>
      </c>
      <c r="B14" s="1">
        <v>2</v>
      </c>
      <c r="C14" s="1">
        <v>2</v>
      </c>
      <c r="D14" s="1">
        <v>2</v>
      </c>
      <c r="E14" s="1">
        <v>2</v>
      </c>
      <c r="F14" s="1">
        <v>2</v>
      </c>
      <c r="G14" s="1">
        <v>2</v>
      </c>
      <c r="H14" s="2">
        <v>1</v>
      </c>
      <c r="I14" s="2">
        <v>1</v>
      </c>
      <c r="J14" s="2"/>
    </row>
    <row r="15" spans="1:10" x14ac:dyDescent="0.4">
      <c r="A15" s="1" t="s">
        <v>87</v>
      </c>
      <c r="B15" s="1">
        <v>2</v>
      </c>
      <c r="C15" s="1">
        <v>2</v>
      </c>
      <c r="D15" s="1">
        <v>2</v>
      </c>
      <c r="E15" s="1">
        <v>2</v>
      </c>
      <c r="F15" s="1">
        <v>2</v>
      </c>
      <c r="G15" s="1">
        <v>2</v>
      </c>
      <c r="H15" s="2">
        <v>1</v>
      </c>
      <c r="I15" s="2">
        <v>1</v>
      </c>
      <c r="J15" s="2"/>
    </row>
    <row r="16" spans="1:10" x14ac:dyDescent="0.4">
      <c r="A16" s="1" t="s">
        <v>89</v>
      </c>
      <c r="B16" s="1">
        <v>0</v>
      </c>
      <c r="C16" s="1">
        <v>0</v>
      </c>
      <c r="D16" s="1">
        <v>1</v>
      </c>
      <c r="E16" s="1">
        <v>1</v>
      </c>
      <c r="F16" s="1">
        <v>1</v>
      </c>
      <c r="G16" s="1">
        <v>1</v>
      </c>
      <c r="H16" s="2">
        <v>1</v>
      </c>
      <c r="I16" s="2">
        <v>1</v>
      </c>
      <c r="J16" s="2">
        <v>1</v>
      </c>
    </row>
    <row r="17" spans="1:10" x14ac:dyDescent="0.4">
      <c r="A17" s="1" t="s">
        <v>256</v>
      </c>
      <c r="B17" s="1">
        <v>4</v>
      </c>
      <c r="C17" s="1">
        <v>4</v>
      </c>
      <c r="D17" s="1">
        <v>4</v>
      </c>
      <c r="E17" s="1">
        <v>4</v>
      </c>
      <c r="F17" s="1">
        <v>4</v>
      </c>
      <c r="G17" s="1">
        <v>2</v>
      </c>
      <c r="H17" s="2">
        <v>2</v>
      </c>
      <c r="I17" s="2">
        <v>2</v>
      </c>
      <c r="J17" s="2"/>
    </row>
    <row r="18" spans="1:10" x14ac:dyDescent="0.4">
      <c r="A18" s="1" t="s">
        <v>93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2">
        <v>1</v>
      </c>
      <c r="I18" s="2">
        <v>2</v>
      </c>
      <c r="J18" s="2">
        <v>1</v>
      </c>
    </row>
    <row r="19" spans="1:10" x14ac:dyDescent="0.4">
      <c r="A19" s="5" t="s">
        <v>229</v>
      </c>
      <c r="B19" s="6">
        <f>SUM(B3:B18)</f>
        <v>35</v>
      </c>
      <c r="C19" s="6">
        <f t="shared" ref="C19:J19" si="0">SUM(C3:C18)</f>
        <v>35</v>
      </c>
      <c r="D19" s="6">
        <f t="shared" si="0"/>
        <v>35</v>
      </c>
      <c r="E19" s="6">
        <f t="shared" si="0"/>
        <v>35</v>
      </c>
      <c r="F19" s="6">
        <f t="shared" si="0"/>
        <v>35</v>
      </c>
      <c r="G19" s="6">
        <f t="shared" si="0"/>
        <v>35</v>
      </c>
      <c r="H19" s="7">
        <f t="shared" si="0"/>
        <v>40</v>
      </c>
      <c r="I19" s="7">
        <f t="shared" si="0"/>
        <v>40</v>
      </c>
      <c r="J19" s="7">
        <f t="shared" si="0"/>
        <v>40</v>
      </c>
    </row>
    <row r="22" spans="1:10" ht="23.25" x14ac:dyDescent="0.4">
      <c r="A22" s="254" t="s">
        <v>242</v>
      </c>
      <c r="B22" s="254"/>
      <c r="C22" s="254"/>
      <c r="D22" s="254"/>
      <c r="E22" s="254"/>
      <c r="F22" s="254"/>
      <c r="G22" s="254"/>
      <c r="H22" s="254"/>
      <c r="I22" s="254"/>
      <c r="J22" s="254"/>
    </row>
    <row r="23" spans="1:10" x14ac:dyDescent="0.4">
      <c r="A23" s="6" t="s">
        <v>241</v>
      </c>
      <c r="B23" s="6" t="s">
        <v>257</v>
      </c>
      <c r="C23" s="6" t="s">
        <v>258</v>
      </c>
      <c r="D23" s="6" t="s">
        <v>249</v>
      </c>
      <c r="E23" s="6" t="s">
        <v>250</v>
      </c>
      <c r="F23" s="6" t="s">
        <v>251</v>
      </c>
      <c r="G23" s="6" t="s">
        <v>252</v>
      </c>
      <c r="H23" s="7" t="s">
        <v>253</v>
      </c>
      <c r="I23" s="7" t="s">
        <v>254</v>
      </c>
      <c r="J23" s="7" t="s">
        <v>255</v>
      </c>
    </row>
    <row r="24" spans="1:10" x14ac:dyDescent="0.4">
      <c r="A24" s="1" t="s">
        <v>26</v>
      </c>
      <c r="B24" s="1">
        <v>3</v>
      </c>
      <c r="C24" s="1">
        <v>5</v>
      </c>
      <c r="D24" s="1">
        <v>3</v>
      </c>
      <c r="E24" s="1">
        <v>2</v>
      </c>
      <c r="F24" s="1">
        <v>3</v>
      </c>
      <c r="G24" s="1">
        <v>3</v>
      </c>
      <c r="H24" s="2">
        <v>2</v>
      </c>
      <c r="I24" s="2">
        <v>3</v>
      </c>
      <c r="J24" s="2">
        <v>3</v>
      </c>
    </row>
    <row r="25" spans="1:10" x14ac:dyDescent="0.4">
      <c r="A25" s="1" t="s">
        <v>34</v>
      </c>
      <c r="B25" s="1">
        <v>2</v>
      </c>
      <c r="C25" s="1"/>
      <c r="D25" s="1">
        <v>1</v>
      </c>
      <c r="E25" s="1">
        <v>2</v>
      </c>
      <c r="F25" s="1">
        <v>1</v>
      </c>
      <c r="G25" s="1">
        <v>1</v>
      </c>
      <c r="H25" s="2"/>
      <c r="I25" s="2"/>
      <c r="J25" s="2"/>
    </row>
    <row r="26" spans="1:10" x14ac:dyDescent="0.4">
      <c r="A26" s="1" t="s">
        <v>136</v>
      </c>
      <c r="B26" s="1"/>
      <c r="C26" s="1"/>
      <c r="D26" s="1">
        <v>1</v>
      </c>
      <c r="E26" s="1">
        <v>1</v>
      </c>
      <c r="F26" s="1">
        <v>1</v>
      </c>
      <c r="G26" s="1">
        <v>1</v>
      </c>
      <c r="H26" s="2">
        <v>3</v>
      </c>
      <c r="I26" s="2">
        <v>3</v>
      </c>
      <c r="J26" s="2">
        <v>3</v>
      </c>
    </row>
    <row r="27" spans="1:10" x14ac:dyDescent="0.4">
      <c r="A27" s="1" t="s">
        <v>66</v>
      </c>
      <c r="B27" s="1"/>
      <c r="C27" s="1"/>
      <c r="D27" s="1"/>
      <c r="E27" s="1"/>
      <c r="F27" s="1"/>
      <c r="G27" s="1"/>
      <c r="H27" s="2"/>
      <c r="I27" s="2">
        <v>1</v>
      </c>
      <c r="J27" s="2">
        <v>1</v>
      </c>
    </row>
    <row r="28" spans="1:10" x14ac:dyDescent="0.4">
      <c r="A28" s="1" t="s">
        <v>76</v>
      </c>
      <c r="B28" s="1"/>
      <c r="C28" s="1"/>
      <c r="D28" s="1"/>
      <c r="E28" s="1"/>
      <c r="F28" s="1"/>
      <c r="G28" s="1"/>
      <c r="H28" s="2"/>
      <c r="I28" s="2">
        <v>1</v>
      </c>
      <c r="J28" s="2">
        <v>1</v>
      </c>
    </row>
    <row r="29" spans="1:10" x14ac:dyDescent="0.4">
      <c r="A29" s="1" t="s">
        <v>62</v>
      </c>
      <c r="B29" s="1"/>
      <c r="C29" s="1"/>
      <c r="D29" s="1"/>
      <c r="E29" s="1"/>
      <c r="F29" s="1"/>
      <c r="G29" s="1"/>
      <c r="H29" s="2"/>
      <c r="I29" s="2">
        <v>1</v>
      </c>
      <c r="J29" s="2">
        <v>1</v>
      </c>
    </row>
    <row r="30" spans="1:10" x14ac:dyDescent="0.4">
      <c r="A30" s="1" t="s">
        <v>54</v>
      </c>
      <c r="B30" s="1"/>
      <c r="C30" s="1"/>
      <c r="D30" s="1"/>
      <c r="E30" s="1"/>
      <c r="F30" s="1"/>
      <c r="G30" s="1"/>
      <c r="H30" s="2"/>
      <c r="I30" s="2">
        <v>0</v>
      </c>
      <c r="J30" s="2">
        <v>0</v>
      </c>
    </row>
    <row r="31" spans="1:10" x14ac:dyDescent="0.4">
      <c r="A31" s="1" t="s">
        <v>58</v>
      </c>
      <c r="B31" s="1"/>
      <c r="C31" s="1"/>
      <c r="D31" s="1"/>
      <c r="E31" s="1"/>
      <c r="F31" s="1"/>
      <c r="G31" s="1"/>
      <c r="H31" s="2"/>
      <c r="I31" s="2">
        <v>0</v>
      </c>
      <c r="J31" s="2">
        <v>0</v>
      </c>
    </row>
    <row r="32" spans="1:10" x14ac:dyDescent="0.4">
      <c r="A32" s="1" t="s">
        <v>243</v>
      </c>
      <c r="B32" s="1"/>
      <c r="C32" s="1"/>
      <c r="D32" s="1"/>
      <c r="E32" s="1"/>
      <c r="F32" s="1"/>
      <c r="G32" s="1"/>
      <c r="H32" s="2"/>
      <c r="I32" s="2">
        <v>1</v>
      </c>
      <c r="J32" s="2">
        <v>1</v>
      </c>
    </row>
    <row r="33" spans="1:10" x14ac:dyDescent="0.4">
      <c r="A33" s="1" t="s">
        <v>244</v>
      </c>
      <c r="B33" s="1"/>
      <c r="C33" s="1"/>
      <c r="D33" s="1"/>
      <c r="E33" s="1"/>
      <c r="F33" s="1"/>
      <c r="G33" s="1"/>
      <c r="H33" s="2"/>
      <c r="I33" s="2"/>
      <c r="J33" s="2"/>
    </row>
    <row r="34" spans="1:10" x14ac:dyDescent="0.4">
      <c r="A34" s="1" t="s">
        <v>81</v>
      </c>
      <c r="B34" s="1"/>
      <c r="C34" s="1"/>
      <c r="D34" s="1"/>
      <c r="E34" s="1"/>
      <c r="F34" s="1"/>
      <c r="G34" s="1"/>
      <c r="H34" s="2"/>
      <c r="I34" s="2"/>
      <c r="J34" s="2"/>
    </row>
    <row r="35" spans="1:10" x14ac:dyDescent="0.4">
      <c r="A35" s="1" t="s">
        <v>85</v>
      </c>
      <c r="B35" s="1"/>
      <c r="C35" s="1"/>
      <c r="D35" s="1"/>
      <c r="E35" s="1"/>
      <c r="F35" s="1"/>
      <c r="G35" s="1"/>
      <c r="H35" s="2"/>
      <c r="I35" s="2"/>
      <c r="J35" s="2"/>
    </row>
    <row r="36" spans="1:10" x14ac:dyDescent="0.4">
      <c r="A36" s="1" t="s">
        <v>87</v>
      </c>
      <c r="B36" s="1"/>
      <c r="C36" s="1"/>
      <c r="D36" s="1"/>
      <c r="E36" s="1"/>
      <c r="F36" s="1"/>
      <c r="G36" s="1"/>
      <c r="H36" s="2"/>
      <c r="I36" s="2"/>
      <c r="J36" s="2"/>
    </row>
    <row r="37" spans="1:10" x14ac:dyDescent="0.4">
      <c r="A37" s="8" t="s">
        <v>229</v>
      </c>
      <c r="B37" s="1">
        <v>5</v>
      </c>
      <c r="C37" s="1">
        <v>5</v>
      </c>
      <c r="D37" s="1">
        <v>5</v>
      </c>
      <c r="E37" s="1">
        <v>5</v>
      </c>
      <c r="F37" s="1">
        <v>5</v>
      </c>
      <c r="G37" s="1">
        <v>5</v>
      </c>
      <c r="H37" s="2">
        <v>5</v>
      </c>
      <c r="I37" s="2">
        <v>10</v>
      </c>
      <c r="J37" s="2">
        <v>10</v>
      </c>
    </row>
    <row r="38" spans="1:10" ht="23.25" x14ac:dyDescent="0.4">
      <c r="A38" s="254" t="s">
        <v>245</v>
      </c>
      <c r="B38" s="254"/>
      <c r="C38" s="254"/>
      <c r="D38" s="254"/>
      <c r="E38" s="254"/>
      <c r="F38" s="254"/>
      <c r="G38" s="254"/>
      <c r="H38" s="254"/>
      <c r="I38" s="254"/>
      <c r="J38" s="254"/>
    </row>
    <row r="39" spans="1:10" x14ac:dyDescent="0.4">
      <c r="A39" s="6" t="s">
        <v>241</v>
      </c>
      <c r="B39" s="6">
        <v>101</v>
      </c>
      <c r="C39" s="6">
        <v>201</v>
      </c>
      <c r="D39" s="6">
        <v>301</v>
      </c>
      <c r="E39" s="6">
        <v>401</v>
      </c>
      <c r="F39" s="6">
        <v>501</v>
      </c>
      <c r="G39" s="6">
        <v>601</v>
      </c>
      <c r="H39" s="7">
        <v>701</v>
      </c>
      <c r="I39" s="7">
        <v>801</v>
      </c>
      <c r="J39" s="7">
        <v>901</v>
      </c>
    </row>
    <row r="40" spans="1:10" x14ac:dyDescent="0.4">
      <c r="A40" s="1" t="s">
        <v>26</v>
      </c>
      <c r="B40" s="1">
        <v>3</v>
      </c>
      <c r="C40" s="1">
        <v>3</v>
      </c>
      <c r="D40" s="1">
        <v>4</v>
      </c>
      <c r="E40" s="1">
        <v>4</v>
      </c>
      <c r="F40" s="1">
        <v>4</v>
      </c>
      <c r="G40" s="1">
        <v>4</v>
      </c>
      <c r="H40" s="2">
        <v>1</v>
      </c>
      <c r="I40" s="2">
        <v>3</v>
      </c>
      <c r="J40" s="2">
        <v>3</v>
      </c>
    </row>
    <row r="41" spans="1:10" x14ac:dyDescent="0.4">
      <c r="A41" s="1" t="s">
        <v>34</v>
      </c>
      <c r="B41" s="1">
        <v>2</v>
      </c>
      <c r="C41" s="1">
        <v>2</v>
      </c>
      <c r="D41" s="1">
        <v>3</v>
      </c>
      <c r="E41" s="1">
        <v>4</v>
      </c>
      <c r="F41" s="1">
        <v>4</v>
      </c>
      <c r="G41" s="1">
        <v>4</v>
      </c>
      <c r="H41" s="2">
        <v>2</v>
      </c>
      <c r="I41" s="2">
        <v>3</v>
      </c>
      <c r="J41" s="2">
        <v>3</v>
      </c>
    </row>
    <row r="42" spans="1:10" x14ac:dyDescent="0.4">
      <c r="A42" s="1" t="s">
        <v>136</v>
      </c>
      <c r="B42" s="1"/>
      <c r="C42" s="1"/>
      <c r="D42" s="1">
        <v>2</v>
      </c>
      <c r="E42" s="1">
        <v>2</v>
      </c>
      <c r="F42" s="1">
        <v>2</v>
      </c>
      <c r="G42" s="1">
        <v>2</v>
      </c>
      <c r="H42" s="2">
        <v>2</v>
      </c>
      <c r="I42" s="2">
        <v>3</v>
      </c>
      <c r="J42" s="2">
        <v>3</v>
      </c>
    </row>
    <row r="43" spans="1:10" x14ac:dyDescent="0.4">
      <c r="A43" s="1" t="s">
        <v>66</v>
      </c>
      <c r="B43" s="1"/>
      <c r="C43" s="1"/>
      <c r="D43" s="1"/>
      <c r="E43" s="1"/>
      <c r="F43" s="1"/>
      <c r="G43" s="1"/>
      <c r="H43" s="2">
        <v>1</v>
      </c>
      <c r="I43" s="2">
        <v>1</v>
      </c>
      <c r="J43" s="2">
        <v>1</v>
      </c>
    </row>
    <row r="44" spans="1:10" x14ac:dyDescent="0.4">
      <c r="A44" s="1" t="s">
        <v>76</v>
      </c>
      <c r="B44" s="1"/>
      <c r="C44" s="1"/>
      <c r="D44" s="1"/>
      <c r="E44" s="1"/>
      <c r="F44" s="1"/>
      <c r="G44" s="1"/>
      <c r="H44" s="2">
        <v>1</v>
      </c>
      <c r="I44" s="2">
        <v>1</v>
      </c>
      <c r="J44" s="2"/>
    </row>
    <row r="45" spans="1:10" x14ac:dyDescent="0.4">
      <c r="A45" s="1" t="s">
        <v>62</v>
      </c>
      <c r="B45" s="1"/>
      <c r="C45" s="1"/>
      <c r="D45" s="1"/>
      <c r="E45" s="1"/>
      <c r="F45" s="1"/>
      <c r="G45" s="1"/>
      <c r="H45" s="2">
        <v>1</v>
      </c>
      <c r="I45" s="2">
        <v>1</v>
      </c>
      <c r="J45" s="2"/>
    </row>
    <row r="46" spans="1:10" x14ac:dyDescent="0.4">
      <c r="A46" s="1" t="s">
        <v>54</v>
      </c>
      <c r="B46" s="1"/>
      <c r="C46" s="1"/>
      <c r="D46" s="1"/>
      <c r="E46" s="1"/>
      <c r="F46" s="1"/>
      <c r="G46" s="1"/>
      <c r="H46" s="2">
        <v>0</v>
      </c>
      <c r="I46" s="2">
        <v>1</v>
      </c>
      <c r="J46" s="2">
        <v>2</v>
      </c>
    </row>
    <row r="47" spans="1:10" x14ac:dyDescent="0.4">
      <c r="A47" s="1" t="s">
        <v>58</v>
      </c>
      <c r="B47" s="1"/>
      <c r="C47" s="1"/>
      <c r="D47" s="1"/>
      <c r="E47" s="1"/>
      <c r="F47" s="1"/>
      <c r="G47" s="1"/>
      <c r="H47" s="2">
        <v>0</v>
      </c>
      <c r="I47" s="2">
        <v>0</v>
      </c>
      <c r="J47" s="2">
        <v>1</v>
      </c>
    </row>
    <row r="48" spans="1:10" x14ac:dyDescent="0.4">
      <c r="A48" s="1" t="s">
        <v>243</v>
      </c>
      <c r="B48" s="1"/>
      <c r="C48" s="1"/>
      <c r="D48" s="1">
        <v>1</v>
      </c>
      <c r="E48" s="1"/>
      <c r="F48" s="1"/>
      <c r="G48" s="1"/>
      <c r="H48" s="2">
        <v>1</v>
      </c>
      <c r="I48" s="2">
        <v>1</v>
      </c>
      <c r="J48" s="2">
        <v>1</v>
      </c>
    </row>
    <row r="49" spans="1:10" x14ac:dyDescent="0.4">
      <c r="A49" s="1" t="s">
        <v>244</v>
      </c>
      <c r="B49" s="1"/>
      <c r="C49" s="1"/>
      <c r="D49" s="1"/>
      <c r="E49" s="1"/>
      <c r="F49" s="1"/>
      <c r="G49" s="1"/>
      <c r="H49" s="2"/>
      <c r="I49" s="2"/>
      <c r="J49" s="2"/>
    </row>
    <row r="50" spans="1:10" x14ac:dyDescent="0.4">
      <c r="A50" s="1" t="s">
        <v>81</v>
      </c>
      <c r="B50" s="1"/>
      <c r="C50" s="1"/>
      <c r="D50" s="1"/>
      <c r="E50" s="1"/>
      <c r="F50" s="1"/>
      <c r="G50" s="1"/>
      <c r="H50" s="2"/>
      <c r="I50" s="2"/>
      <c r="J50" s="2"/>
    </row>
    <row r="51" spans="1:10" x14ac:dyDescent="0.4">
      <c r="A51" s="1" t="s">
        <v>85</v>
      </c>
      <c r="B51" s="1"/>
      <c r="C51" s="1"/>
      <c r="D51" s="1"/>
      <c r="E51" s="1"/>
      <c r="F51" s="1"/>
      <c r="G51" s="1"/>
      <c r="H51" s="2"/>
      <c r="I51" s="2"/>
      <c r="J51" s="2"/>
    </row>
    <row r="52" spans="1:10" x14ac:dyDescent="0.4">
      <c r="A52" s="1" t="s">
        <v>87</v>
      </c>
      <c r="B52" s="1"/>
      <c r="C52" s="1"/>
      <c r="D52" s="1"/>
      <c r="E52" s="1"/>
      <c r="F52" s="1"/>
      <c r="G52" s="1"/>
      <c r="H52" s="2">
        <v>1</v>
      </c>
      <c r="I52" s="2">
        <v>1</v>
      </c>
      <c r="J52" s="2">
        <v>1</v>
      </c>
    </row>
    <row r="53" spans="1:10" x14ac:dyDescent="0.4">
      <c r="A53" s="5" t="s">
        <v>229</v>
      </c>
      <c r="B53" s="5">
        <v>5</v>
      </c>
      <c r="C53" s="5">
        <v>5</v>
      </c>
      <c r="D53" s="5">
        <v>10</v>
      </c>
      <c r="E53" s="5">
        <v>10</v>
      </c>
      <c r="F53" s="5">
        <v>10</v>
      </c>
      <c r="G53" s="5">
        <v>10</v>
      </c>
      <c r="H53" s="3">
        <v>10</v>
      </c>
      <c r="I53" s="3">
        <v>15</v>
      </c>
      <c r="J53" s="3">
        <v>15</v>
      </c>
    </row>
  </sheetData>
  <mergeCells count="3">
    <mergeCell ref="A1:J1"/>
    <mergeCell ref="A22:J22"/>
    <mergeCell ref="A38:J38"/>
  </mergeCells>
  <phoneticPr fontId="17" type="noConversion"/>
  <conditionalFormatting sqref="B3:J18">
    <cfRule type="cellIs" dxfId="1" priority="5" operator="equal">
      <formula>0</formula>
    </cfRule>
  </conditionalFormatting>
  <conditionalFormatting sqref="B24:J37 B40:J52">
    <cfRule type="cellIs" dxfId="0" priority="1" operator="equal">
      <formula>0</formula>
    </cfRule>
  </conditionalFormatting>
  <pageMargins left="0.39" right="0.26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7" master="" otherUserPermission="visible"/>
  <rangeList sheetStid="5" master="" otherUserPermission="visible">
    <arrUserId title="区域11" rangeCreator="" othersAccessPermission="edit"/>
    <arrUserId title="区域12_1" rangeCreator="" othersAccessPermission="edit"/>
    <arrUserId title="区域12_2" rangeCreator="" othersAccessPermission="edit"/>
    <arrUserId title="区域9_1" rangeCreator="" othersAccessPermission="edit"/>
    <arrUserId title="区域11_1" rangeCreator="" othersAccessPermission="edit"/>
    <arrUserId title="区域10_1_3" rangeCreator="" othersAccessPermission="edit"/>
    <arrUserId title="区域10_2" rangeCreator="" othersAccessPermission="edit"/>
    <arrUserId title="区域12_4" rangeCreator="" othersAccessPermission="edit"/>
  </rangeList>
  <rangeList sheetStid="18" master="" otherUserPermission="visible">
    <arrUserId title="区域1" rangeCreator="" othersAccessPermission="edit"/>
  </rangeList>
  <rangeList sheetStid="3" master="" otherUserPermission="visible">
    <arrUserId title="区域1" rangeCreator="" othersAccessPermission="edit"/>
  </rangeList>
  <rangeList sheetStid="19" master="" otherUserPermission="visible">
    <arrUserId title="区域1" rangeCreator="" othersAccessPermission="edit"/>
  </rangeList>
  <rangeList sheetStid="6" master="" otherUserPermission="visible"/>
  <rangeList sheetStid="17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4</vt:i4>
      </vt:variant>
    </vt:vector>
  </HeadingPairs>
  <TitlesOfParts>
    <vt:vector size="11" baseType="lpstr">
      <vt:lpstr>教师安排</vt:lpstr>
      <vt:lpstr>总课表</vt:lpstr>
      <vt:lpstr>班级</vt:lpstr>
      <vt:lpstr>教师</vt:lpstr>
      <vt:lpstr>Sheet1</vt:lpstr>
      <vt:lpstr>班级课时统计</vt:lpstr>
      <vt:lpstr>课时计划</vt:lpstr>
      <vt:lpstr>班级!Print_Area</vt:lpstr>
      <vt:lpstr>教师!Print_Area</vt:lpstr>
      <vt:lpstr>总课表!Print_Area</vt:lpstr>
      <vt:lpstr>总课表!Print_Titles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chenxi wang</cp:lastModifiedBy>
  <cp:lastPrinted>2023-08-25T00:45:00Z</cp:lastPrinted>
  <dcterms:created xsi:type="dcterms:W3CDTF">1996-12-17T01:32:00Z</dcterms:created>
  <dcterms:modified xsi:type="dcterms:W3CDTF">2026-05-14T06:33:31Z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28BE60A64C614BFEAD885A8E1B56E28F_13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